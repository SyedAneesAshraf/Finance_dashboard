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vs_Actual" sheetId="1" state="visible" r:id="rId1"/>
    <sheet name="GL_Accounts" sheetId="2" state="visible" r:id="rId2"/>
    <sheet name="Invoices" sheetId="3" state="visible" r:id="rId3"/>
    <sheet name="CostCenter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;[RED]-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595959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'Budget_vs_Actual'!B4</f>
            </strRef>
          </tx>
          <spPr>
            <a:ln>
              <a:prstDash val="solid"/>
            </a:ln>
          </spPr>
          <cat>
            <numRef>
              <f>'Budget_vs_Actual'!$A$5:$A$11</f>
            </numRef>
          </cat>
          <val>
            <numRef>
              <f>'Budget_vs_Actual'!$B$5:$B$11</f>
            </numRef>
          </val>
        </ser>
        <ser>
          <idx val="1"/>
          <order val="1"/>
          <tx>
            <strRef>
              <f>'Budget_vs_Actual'!C4</f>
            </strRef>
          </tx>
          <spPr>
            <a:ln>
              <a:prstDash val="solid"/>
            </a:ln>
          </spPr>
          <cat>
            <numRef>
              <f>'Budget_vs_Actual'!$A$5:$A$11</f>
            </numRef>
          </cat>
          <val>
            <numRef>
              <f>'Budget_vs_Actual'!$C$5:$C$11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dgetVsActual" displayName="BudgetVsActual" ref="A4:E11" headerRowCount="1">
  <autoFilter ref="A4:E11"/>
  <tableColumns count="5">
    <tableColumn id="1" name="Department"/>
    <tableColumn id="2" name="Budget"/>
    <tableColumn id="3" name="Actual"/>
    <tableColumn id="4" name="Variance"/>
    <tableColumn id="5" name="Variance %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CostCenterDetail" displayName="CostCenterDetail" ref="A3:C18" headerRowCount="1">
  <autoFilter ref="A3:C18"/>
  <tableColumns count="3">
    <tableColumn id="1" name="Department"/>
    <tableColumn id="2" name="Cost Center"/>
    <tableColumn id="3" name="Actu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Budget vs Actual — by Department</t>
        </is>
      </c>
    </row>
    <row r="2" ht="28" customHeight="1">
      <c r="A2" s="2" t="inlineStr">
        <is>
          <t>24-month window (2024-09 → 2026-08). Budget is a documented planning assumption (see scripts/build_excel_companion.py); Actual and Variance are live formulas over the Invoices sheet, which is an unmodified Gold-layer export.</t>
        </is>
      </c>
    </row>
    <row r="4">
      <c r="A4" s="3" t="inlineStr">
        <is>
          <t>Department</t>
        </is>
      </c>
      <c r="B4" s="3" t="inlineStr">
        <is>
          <t>Budget</t>
        </is>
      </c>
      <c r="C4" s="3" t="inlineStr">
        <is>
          <t>Actual</t>
        </is>
      </c>
      <c r="D4" s="3" t="inlineStr">
        <is>
          <t>Variance</t>
        </is>
      </c>
      <c r="E4" s="3" t="inlineStr">
        <is>
          <t>Variance %</t>
        </is>
      </c>
    </row>
    <row r="5">
      <c r="A5" t="inlineStr">
        <is>
          <t>Manufacturing</t>
        </is>
      </c>
      <c r="B5" s="4" t="n">
        <v>2900000</v>
      </c>
      <c r="C5" s="4">
        <f>SUMIF(Invoices!$Q$2:$Q$673,$A5,Invoices!$M$2:$M$673)</f>
        <v/>
      </c>
      <c r="D5" s="4">
        <f>C5-B5</f>
        <v/>
      </c>
      <c r="E5" s="5">
        <f>IFERROR(D5/B5,0)</f>
        <v/>
      </c>
    </row>
    <row r="6">
      <c r="A6" t="inlineStr">
        <is>
          <t>IT</t>
        </is>
      </c>
      <c r="B6" s="4" t="n">
        <v>2250000</v>
      </c>
      <c r="C6" s="4">
        <f>SUMIF(Invoices!$Q$2:$Q$673,$A6,Invoices!$M$2:$M$673)</f>
        <v/>
      </c>
      <c r="D6" s="4">
        <f>C6-B6</f>
        <v/>
      </c>
      <c r="E6" s="5">
        <f>IFERROR(D6/B6,0)</f>
        <v/>
      </c>
    </row>
    <row r="7">
      <c r="A7" t="inlineStr">
        <is>
          <t>HR</t>
        </is>
      </c>
      <c r="B7" s="4" t="n">
        <v>600000</v>
      </c>
      <c r="C7" s="4">
        <f>SUMIF(Invoices!$Q$2:$Q$673,$A7,Invoices!$M$2:$M$673)</f>
        <v/>
      </c>
      <c r="D7" s="4">
        <f>C7-B7</f>
        <v/>
      </c>
      <c r="E7" s="5">
        <f>IFERROR(D7/B7,0)</f>
        <v/>
      </c>
    </row>
    <row r="8">
      <c r="A8" t="inlineStr">
        <is>
          <t>Corporate</t>
        </is>
      </c>
      <c r="B8" s="4" t="n">
        <v>650000</v>
      </c>
      <c r="C8" s="4">
        <f>SUMIF(Invoices!$Q$2:$Q$673,$A8,Invoices!$M$2:$M$673)</f>
        <v/>
      </c>
      <c r="D8" s="4">
        <f>C8-B8</f>
        <v/>
      </c>
      <c r="E8" s="5">
        <f>IFERROR(D8/B8,0)</f>
        <v/>
      </c>
    </row>
    <row r="9">
      <c r="A9" t="inlineStr">
        <is>
          <t>Finance</t>
        </is>
      </c>
      <c r="B9" s="4" t="n">
        <v>400000</v>
      </c>
      <c r="C9" s="4">
        <f>SUMIF(Invoices!$Q$2:$Q$673,$A9,Invoices!$M$2:$M$673)</f>
        <v/>
      </c>
      <c r="D9" s="4">
        <f>C9-B9</f>
        <v/>
      </c>
      <c r="E9" s="5">
        <f>IFERROR(D9/B9,0)</f>
        <v/>
      </c>
    </row>
    <row r="10">
      <c r="A10" t="inlineStr">
        <is>
          <t>Logistics</t>
        </is>
      </c>
      <c r="B10" s="4" t="n">
        <v>175000</v>
      </c>
      <c r="C10" s="4">
        <f>SUMIF(Invoices!$Q$2:$Q$673,$A10,Invoices!$M$2:$M$673)</f>
        <v/>
      </c>
      <c r="D10" s="4">
        <f>C10-B10</f>
        <v/>
      </c>
      <c r="E10" s="5">
        <f>IFERROR(D10/B10,0)</f>
        <v/>
      </c>
    </row>
    <row r="11">
      <c r="A11" t="inlineStr">
        <is>
          <t>Facilities</t>
        </is>
      </c>
      <c r="B11" s="4" t="n">
        <v>12000</v>
      </c>
      <c r="C11" s="4">
        <f>SUMIF(Invoices!$Q$2:$Q$673,$A11,Invoices!$M$2:$M$673)</f>
        <v/>
      </c>
      <c r="D11" s="4">
        <f>C11-B11</f>
        <v/>
      </c>
      <c r="E11" s="5">
        <f>IFERROR(D11/B11,0)</f>
        <v/>
      </c>
    </row>
    <row r="12">
      <c r="A12" s="6" t="inlineStr">
        <is>
          <t>Total</t>
        </is>
      </c>
      <c r="B12" s="7">
        <f>SUM(B5:B11)</f>
        <v/>
      </c>
      <c r="C12" s="7">
        <f>SUM(C5:C11)</f>
        <v/>
      </c>
      <c r="D12" s="7">
        <f>C12-B12</f>
        <v/>
      </c>
      <c r="E12" s="8">
        <f>IFERROR(D12/B12,0)</f>
        <v/>
      </c>
    </row>
  </sheetData>
  <mergeCells count="1">
    <mergeCell ref="A2:E2"/>
  </mergeCells>
  <conditionalFormatting sqref="D5:D11">
    <cfRule type="expression" priority="1" dxfId="0">
      <formula>D5&gt;0</formula>
    </cfRule>
    <cfRule type="expression" priority="2" dxfId="1">
      <formula>D5&lt;=0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2" customWidth="1" min="5" max="5"/>
  </cols>
  <sheetData>
    <row r="1">
      <c r="A1" s="3" t="inlineStr">
        <is>
          <t>ACCOUNT_KEY</t>
        </is>
      </c>
      <c r="B1" s="3" t="inlineStr">
        <is>
          <t>ACCOUNT_ID</t>
        </is>
      </c>
      <c r="C1" s="3" t="inlineStr">
        <is>
          <t>ACCOUNT_NAME</t>
        </is>
      </c>
      <c r="D1" s="3" t="inlineStr">
        <is>
          <t>COST_CENTER</t>
        </is>
      </c>
      <c r="E1" s="3" t="inlineStr">
        <is>
          <t>DEPARTMENT</t>
        </is>
      </c>
    </row>
    <row r="2">
      <c r="A2" t="n">
        <v>1</v>
      </c>
      <c r="B2" t="n">
        <v>60100</v>
      </c>
      <c r="C2" t="inlineStr">
        <is>
          <t>Raw Materials Purchases</t>
        </is>
      </c>
      <c r="D2" t="inlineStr">
        <is>
          <t>CC-1010</t>
        </is>
      </c>
      <c r="E2" t="inlineStr">
        <is>
          <t>Manufacturing</t>
        </is>
      </c>
    </row>
    <row r="3">
      <c r="A3" t="n">
        <v>2</v>
      </c>
      <c r="B3" t="n">
        <v>60110</v>
      </c>
      <c r="C3" t="inlineStr">
        <is>
          <t>Direct Materials - Steel</t>
        </is>
      </c>
      <c r="D3" t="inlineStr">
        <is>
          <t>CC-1010</t>
        </is>
      </c>
      <c r="E3" t="inlineStr">
        <is>
          <t>Manufacturing</t>
        </is>
      </c>
    </row>
    <row r="4">
      <c r="A4" t="n">
        <v>3</v>
      </c>
      <c r="B4" t="n">
        <v>60120</v>
      </c>
      <c r="C4" t="inlineStr">
        <is>
          <t>Direct Materials - Polymers</t>
        </is>
      </c>
      <c r="D4" t="inlineStr">
        <is>
          <t>CC-1020</t>
        </is>
      </c>
      <c r="E4" t="inlineStr">
        <is>
          <t>Manufacturing</t>
        </is>
      </c>
    </row>
    <row r="5">
      <c r="A5" t="n">
        <v>4</v>
      </c>
      <c r="B5" t="n">
        <v>60200</v>
      </c>
      <c r="C5" t="inlineStr">
        <is>
          <t>Manufacturing Supplies</t>
        </is>
      </c>
      <c r="D5" t="inlineStr">
        <is>
          <t>CC-1030</t>
        </is>
      </c>
      <c r="E5" t="inlineStr">
        <is>
          <t>Manufacturing</t>
        </is>
      </c>
    </row>
    <row r="6">
      <c r="A6" t="n">
        <v>5</v>
      </c>
      <c r="B6" t="n">
        <v>60300</v>
      </c>
      <c r="C6" t="inlineStr">
        <is>
          <t>Equipment Maintenance</t>
        </is>
      </c>
      <c r="D6" t="inlineStr">
        <is>
          <t>CC-1040</t>
        </is>
      </c>
      <c r="E6" t="inlineStr">
        <is>
          <t>Manufacturing</t>
        </is>
      </c>
    </row>
    <row r="7">
      <c r="A7" t="n">
        <v>6</v>
      </c>
      <c r="B7" t="n">
        <v>61100</v>
      </c>
      <c r="C7" t="inlineStr">
        <is>
          <t>Software Licenses</t>
        </is>
      </c>
      <c r="D7" t="inlineStr">
        <is>
          <t>CC-2010</t>
        </is>
      </c>
      <c r="E7" t="inlineStr">
        <is>
          <t>IT</t>
        </is>
      </c>
    </row>
    <row r="8">
      <c r="A8" t="n">
        <v>7</v>
      </c>
      <c r="B8" t="n">
        <v>61200</v>
      </c>
      <c r="C8" t="inlineStr">
        <is>
          <t>Cloud Infrastructure</t>
        </is>
      </c>
      <c r="D8" t="inlineStr">
        <is>
          <t>CC-2010</t>
        </is>
      </c>
      <c r="E8" t="inlineStr">
        <is>
          <t>IT</t>
        </is>
      </c>
    </row>
    <row r="9">
      <c r="A9" t="n">
        <v>8</v>
      </c>
      <c r="B9" t="n">
        <v>61300</v>
      </c>
      <c r="C9" t="inlineStr">
        <is>
          <t>IT Consulting Services</t>
        </is>
      </c>
      <c r="D9" t="inlineStr">
        <is>
          <t>CC-2020</t>
        </is>
      </c>
      <c r="E9" t="inlineStr">
        <is>
          <t>IT</t>
        </is>
      </c>
    </row>
    <row r="10">
      <c r="A10" t="n">
        <v>9</v>
      </c>
      <c r="B10" t="n">
        <v>61400</v>
      </c>
      <c r="C10" t="inlineStr">
        <is>
          <t>Hardware Purchases</t>
        </is>
      </c>
      <c r="D10" t="inlineStr">
        <is>
          <t>CC-2030</t>
        </is>
      </c>
      <c r="E10" t="inlineStr">
        <is>
          <t>IT</t>
        </is>
      </c>
    </row>
    <row r="11">
      <c r="A11" t="n">
        <v>10</v>
      </c>
      <c r="B11" t="n">
        <v>62100</v>
      </c>
      <c r="C11" t="inlineStr">
        <is>
          <t>Freight - Inbound</t>
        </is>
      </c>
      <c r="D11" t="inlineStr">
        <is>
          <t>CC-3010</t>
        </is>
      </c>
      <c r="E11" t="inlineStr">
        <is>
          <t>Logistics</t>
        </is>
      </c>
    </row>
    <row r="12">
      <c r="A12" t="n">
        <v>11</v>
      </c>
      <c r="B12" t="n">
        <v>62200</v>
      </c>
      <c r="C12" t="inlineStr">
        <is>
          <t>Freight - Outbound</t>
        </is>
      </c>
      <c r="D12" t="inlineStr">
        <is>
          <t>CC-3020</t>
        </is>
      </c>
      <c r="E12" t="inlineStr">
        <is>
          <t>Logistics</t>
        </is>
      </c>
    </row>
    <row r="13">
      <c r="A13" t="n">
        <v>12</v>
      </c>
      <c r="B13" t="n">
        <v>62300</v>
      </c>
      <c r="C13" t="inlineStr">
        <is>
          <t>Warehousing Services</t>
        </is>
      </c>
      <c r="D13" t="inlineStr">
        <is>
          <t>CC-3030</t>
        </is>
      </c>
      <c r="E13" t="inlineStr">
        <is>
          <t>Logistics</t>
        </is>
      </c>
    </row>
    <row r="14">
      <c r="A14" t="n">
        <v>13</v>
      </c>
      <c r="B14" t="n">
        <v>62400</v>
      </c>
      <c r="C14" t="inlineStr">
        <is>
          <t>Customs and Duties</t>
        </is>
      </c>
      <c r="D14" t="inlineStr">
        <is>
          <t>CC-3010</t>
        </is>
      </c>
      <c r="E14" t="inlineStr">
        <is>
          <t>Logistics</t>
        </is>
      </c>
    </row>
    <row r="15">
      <c r="A15" t="n">
        <v>14</v>
      </c>
      <c r="B15" t="n">
        <v>63100</v>
      </c>
      <c r="C15" t="inlineStr">
        <is>
          <t>Office Supplies</t>
        </is>
      </c>
      <c r="D15" t="inlineStr">
        <is>
          <t>CC-4010</t>
        </is>
      </c>
      <c r="E15" t="inlineStr">
        <is>
          <t>Finance</t>
        </is>
      </c>
    </row>
    <row r="16">
      <c r="A16" t="n">
        <v>15</v>
      </c>
      <c r="B16" t="n">
        <v>63200</v>
      </c>
      <c r="C16" t="inlineStr">
        <is>
          <t>Printing and Stationery</t>
        </is>
      </c>
      <c r="D16" t="inlineStr">
        <is>
          <t>CC-4010</t>
        </is>
      </c>
      <c r="E16" t="inlineStr">
        <is>
          <t>Finance</t>
        </is>
      </c>
    </row>
    <row r="17">
      <c r="A17" t="n">
        <v>16</v>
      </c>
      <c r="B17" t="n">
        <v>63300</v>
      </c>
      <c r="C17" t="inlineStr">
        <is>
          <t>Professional Fees - Audit</t>
        </is>
      </c>
      <c r="D17" t="inlineStr">
        <is>
          <t>CC-4020</t>
        </is>
      </c>
      <c r="E17" t="inlineStr">
        <is>
          <t>Finance</t>
        </is>
      </c>
    </row>
    <row r="18">
      <c r="A18" t="n">
        <v>17</v>
      </c>
      <c r="B18" t="n">
        <v>64100</v>
      </c>
      <c r="C18" t="inlineStr">
        <is>
          <t>Management Consulting</t>
        </is>
      </c>
      <c r="D18" t="inlineStr">
        <is>
          <t>CC-5010</t>
        </is>
      </c>
      <c r="E18" t="inlineStr">
        <is>
          <t>Corporate</t>
        </is>
      </c>
    </row>
    <row r="19">
      <c r="A19" t="n">
        <v>18</v>
      </c>
      <c r="B19" t="n">
        <v>64200</v>
      </c>
      <c r="C19" t="inlineStr">
        <is>
          <t>Recruitment Fees</t>
        </is>
      </c>
      <c r="D19" t="inlineStr">
        <is>
          <t>CC-6010</t>
        </is>
      </c>
      <c r="E19" t="inlineStr">
        <is>
          <t>HR</t>
        </is>
      </c>
    </row>
    <row r="20">
      <c r="A20" t="n">
        <v>19</v>
      </c>
      <c r="B20" t="n">
        <v>64300</v>
      </c>
      <c r="C20" t="inlineStr">
        <is>
          <t>Training and Development</t>
        </is>
      </c>
      <c r="D20" t="inlineStr">
        <is>
          <t>CC-6010</t>
        </is>
      </c>
      <c r="E20" t="inlineStr">
        <is>
          <t>HR</t>
        </is>
      </c>
    </row>
    <row r="21">
      <c r="A21" t="n">
        <v>20</v>
      </c>
      <c r="B21" t="n">
        <v>65100</v>
      </c>
      <c r="C21" t="inlineStr">
        <is>
          <t>Facilities and Utilities</t>
        </is>
      </c>
      <c r="D21" t="inlineStr">
        <is>
          <t>CC-7010</t>
        </is>
      </c>
      <c r="E21" t="inlineStr">
        <is>
          <t>Facilities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18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2" customWidth="1" min="16" max="16"/>
    <col width="16" customWidth="1" min="17" max="17"/>
    <col width="14" customWidth="1" min="18" max="18"/>
  </cols>
  <sheetData>
    <row r="1">
      <c r="A1" s="3" t="inlineStr">
        <is>
          <t>INVOICE_ID</t>
        </is>
      </c>
      <c r="B1" s="3" t="inlineStr">
        <is>
          <t>VENDOR_KEY</t>
        </is>
      </c>
      <c r="C1" s="3" t="inlineStr">
        <is>
          <t>VENDOR_ID</t>
        </is>
      </c>
      <c r="D1" s="3" t="inlineStr">
        <is>
          <t>ACCOUNT_KEY</t>
        </is>
      </c>
      <c r="E1" s="3" t="inlineStr">
        <is>
          <t>GL_ACCOUNT_ID</t>
        </is>
      </c>
      <c r="F1" s="3" t="inlineStr">
        <is>
          <t>PO_ID</t>
        </is>
      </c>
      <c r="G1" s="3" t="inlineStr">
        <is>
          <t>INVOICE_DATE_KEY</t>
        </is>
      </c>
      <c r="H1" s="3" t="inlineStr">
        <is>
          <t>INVOICE_DATE</t>
        </is>
      </c>
      <c r="I1" s="3" t="inlineStr">
        <is>
          <t>DUE_DATE_KEY</t>
        </is>
      </c>
      <c r="J1" s="3" t="inlineStr">
        <is>
          <t>DUE_DATE</t>
        </is>
      </c>
      <c r="K1" s="3" t="inlineStr">
        <is>
          <t>AMOUNT</t>
        </is>
      </c>
      <c r="L1" s="3" t="inlineStr">
        <is>
          <t>CURRENCY</t>
        </is>
      </c>
      <c r="M1" s="3" t="inlineStr">
        <is>
          <t>AMOUNT_USD</t>
        </is>
      </c>
      <c r="N1" s="3" t="inlineStr">
        <is>
          <t>STATUS</t>
        </is>
      </c>
      <c r="O1" s="3" t="inlineStr">
        <is>
          <t>IS_NON_PO_SPEND</t>
        </is>
      </c>
      <c r="P1" s="3" t="inlineStr">
        <is>
          <t>TERM_DAYS</t>
        </is>
      </c>
      <c r="Q1" s="3" t="inlineStr">
        <is>
          <t>DEPARTMENT</t>
        </is>
      </c>
      <c r="R1" s="3" t="inlineStr">
        <is>
          <t>COST_CENTER</t>
        </is>
      </c>
    </row>
    <row r="2">
      <c r="A2" t="inlineStr">
        <is>
          <t>INV200001</t>
        </is>
      </c>
      <c r="B2" t="n">
        <v>25</v>
      </c>
      <c r="C2" t="inlineStr">
        <is>
          <t>V0025</t>
        </is>
      </c>
      <c r="D2" t="n">
        <v>8</v>
      </c>
      <c r="E2" t="n">
        <v>61300</v>
      </c>
      <c r="F2" t="inlineStr">
        <is>
          <t>PO100001</t>
        </is>
      </c>
      <c r="G2" t="n">
        <v>20250404</v>
      </c>
      <c r="H2" t="inlineStr">
        <is>
          <t>2025-04-04</t>
        </is>
      </c>
      <c r="I2" t="n">
        <v>20250504</v>
      </c>
      <c r="J2" t="inlineStr">
        <is>
          <t>2025-05-04</t>
        </is>
      </c>
      <c r="K2" s="9" t="n">
        <v>5528.24</v>
      </c>
      <c r="L2" t="inlineStr">
        <is>
          <t>GBP</t>
        </is>
      </c>
      <c r="M2" s="4" t="n">
        <v>7020.86</v>
      </c>
      <c r="N2" t="inlineStr">
        <is>
          <t>Paid</t>
        </is>
      </c>
      <c r="O2" t="inlineStr">
        <is>
          <t>False</t>
        </is>
      </c>
      <c r="P2" t="n">
        <v>30</v>
      </c>
      <c r="Q2">
        <f>VLOOKUP(D2,GL_Accounts!$A$2:$E$1048576,5,FALSE)</f>
        <v/>
      </c>
      <c r="R2">
        <f>VLOOKUP(D2,GL_Accounts!$A$2:$E$1048576,4,FALSE)</f>
        <v/>
      </c>
    </row>
    <row r="3">
      <c r="A3" t="inlineStr">
        <is>
          <t>INV200002</t>
        </is>
      </c>
      <c r="B3" t="n">
        <v>25</v>
      </c>
      <c r="C3" t="inlineStr">
        <is>
          <t>V0025</t>
        </is>
      </c>
      <c r="D3" t="n">
        <v>6</v>
      </c>
      <c r="E3" t="n">
        <v>61100</v>
      </c>
      <c r="F3" t="inlineStr">
        <is>
          <t>PO100001</t>
        </is>
      </c>
      <c r="G3" t="n">
        <v>20250508</v>
      </c>
      <c r="H3" t="inlineStr">
        <is>
          <t>2025-05-08</t>
        </is>
      </c>
      <c r="I3" t="n">
        <v>20250607</v>
      </c>
      <c r="J3" t="inlineStr">
        <is>
          <t>2025-06-07</t>
        </is>
      </c>
      <c r="K3" s="9" t="n">
        <v>8889.07</v>
      </c>
      <c r="L3" t="inlineStr">
        <is>
          <t>GBP</t>
        </is>
      </c>
      <c r="M3" s="4" t="n">
        <v>11289.12</v>
      </c>
      <c r="N3" t="inlineStr">
        <is>
          <t>Paid</t>
        </is>
      </c>
      <c r="O3" t="inlineStr">
        <is>
          <t>False</t>
        </is>
      </c>
      <c r="P3" t="n">
        <v>30</v>
      </c>
      <c r="Q3">
        <f>VLOOKUP(D3,GL_Accounts!$A$2:$E$1048576,5,FALSE)</f>
        <v/>
      </c>
      <c r="R3">
        <f>VLOOKUP(D3,GL_Accounts!$A$2:$E$1048576,4,FALSE)</f>
        <v/>
      </c>
    </row>
    <row r="4">
      <c r="A4" t="inlineStr">
        <is>
          <t>INV200003</t>
        </is>
      </c>
      <c r="B4" t="n">
        <v>25</v>
      </c>
      <c r="C4" t="inlineStr">
        <is>
          <t>V0025</t>
        </is>
      </c>
      <c r="D4" t="n">
        <v>7</v>
      </c>
      <c r="E4" t="n">
        <v>61200</v>
      </c>
      <c r="F4" t="inlineStr">
        <is>
          <t>PO100002</t>
        </is>
      </c>
      <c r="G4" t="n">
        <v>20260319</v>
      </c>
      <c r="H4" t="inlineStr">
        <is>
          <t>2026-03-19</t>
        </is>
      </c>
      <c r="I4" t="n">
        <v>20260418</v>
      </c>
      <c r="J4" t="inlineStr">
        <is>
          <t>2026-04-18</t>
        </is>
      </c>
      <c r="K4" s="9" t="n">
        <v>5267.84</v>
      </c>
      <c r="L4" t="inlineStr">
        <is>
          <t>GBP</t>
        </is>
      </c>
      <c r="M4" s="4" t="n">
        <v>6690.16</v>
      </c>
      <c r="N4" t="inlineStr">
        <is>
          <t>Paid</t>
        </is>
      </c>
      <c r="O4" t="inlineStr">
        <is>
          <t>False</t>
        </is>
      </c>
      <c r="P4" t="n">
        <v>30</v>
      </c>
      <c r="Q4">
        <f>VLOOKUP(D4,GL_Accounts!$A$2:$E$1048576,5,FALSE)</f>
        <v/>
      </c>
      <c r="R4">
        <f>VLOOKUP(D4,GL_Accounts!$A$2:$E$1048576,4,FALSE)</f>
        <v/>
      </c>
    </row>
    <row r="5">
      <c r="A5" t="inlineStr">
        <is>
          <t>INV200004</t>
        </is>
      </c>
      <c r="B5" t="n">
        <v>21</v>
      </c>
      <c r="C5" t="inlineStr">
        <is>
          <t>V0021</t>
        </is>
      </c>
      <c r="D5" t="n">
        <v>8</v>
      </c>
      <c r="E5" t="n">
        <v>61300</v>
      </c>
      <c r="F5" t="inlineStr">
        <is>
          <t>PO100003</t>
        </is>
      </c>
      <c r="G5" t="n">
        <v>20250118</v>
      </c>
      <c r="H5" t="inlineStr">
        <is>
          <t>2025-01-18</t>
        </is>
      </c>
      <c r="I5" t="n">
        <v>20250319</v>
      </c>
      <c r="J5" t="inlineStr">
        <is>
          <t>2025-03-19</t>
        </is>
      </c>
      <c r="K5" s="9" t="n">
        <v>6849.11</v>
      </c>
      <c r="L5" t="inlineStr">
        <is>
          <t>USD</t>
        </is>
      </c>
      <c r="M5" s="4" t="n">
        <v>6849.11</v>
      </c>
      <c r="N5" t="inlineStr">
        <is>
          <t>Paid</t>
        </is>
      </c>
      <c r="O5" t="inlineStr">
        <is>
          <t>False</t>
        </is>
      </c>
      <c r="P5" t="n">
        <v>60</v>
      </c>
      <c r="Q5">
        <f>VLOOKUP(D5,GL_Accounts!$A$2:$E$1048576,5,FALSE)</f>
        <v/>
      </c>
      <c r="R5">
        <f>VLOOKUP(D5,GL_Accounts!$A$2:$E$1048576,4,FALSE)</f>
        <v/>
      </c>
    </row>
    <row r="6">
      <c r="A6" t="inlineStr">
        <is>
          <t>INV200005</t>
        </is>
      </c>
      <c r="B6" t="n">
        <v>31</v>
      </c>
      <c r="C6" t="inlineStr">
        <is>
          <t>V0031</t>
        </is>
      </c>
      <c r="D6" t="n">
        <v>4</v>
      </c>
      <c r="E6" t="n">
        <v>60200</v>
      </c>
      <c r="F6" t="inlineStr">
        <is>
          <t>PO100005</t>
        </is>
      </c>
      <c r="G6" t="n">
        <v>20250430</v>
      </c>
      <c r="H6" t="inlineStr">
        <is>
          <t>2025-04-30</t>
        </is>
      </c>
      <c r="I6" t="n">
        <v>20250530</v>
      </c>
      <c r="J6" t="inlineStr">
        <is>
          <t>2025-05-30</t>
        </is>
      </c>
      <c r="K6" s="9" t="n">
        <v>4526.8</v>
      </c>
      <c r="L6" t="inlineStr">
        <is>
          <t>USD</t>
        </is>
      </c>
      <c r="M6" s="4" t="n">
        <v>4526.8</v>
      </c>
      <c r="N6" t="inlineStr">
        <is>
          <t>Paid</t>
        </is>
      </c>
      <c r="O6" t="inlineStr">
        <is>
          <t>False</t>
        </is>
      </c>
      <c r="P6" t="n">
        <v>30</v>
      </c>
      <c r="Q6">
        <f>VLOOKUP(D6,GL_Accounts!$A$2:$E$1048576,5,FALSE)</f>
        <v/>
      </c>
      <c r="R6">
        <f>VLOOKUP(D6,GL_Accounts!$A$2:$E$1048576,4,FALSE)</f>
        <v/>
      </c>
    </row>
    <row r="7">
      <c r="A7" t="inlineStr">
        <is>
          <t>INV200006</t>
        </is>
      </c>
      <c r="B7" t="n">
        <v>31</v>
      </c>
      <c r="C7" t="inlineStr">
        <is>
          <t>V0031</t>
        </is>
      </c>
      <c r="D7" t="n">
        <v>2</v>
      </c>
      <c r="E7" t="n">
        <v>60110</v>
      </c>
      <c r="F7" t="inlineStr">
        <is>
          <t>PO100005</t>
        </is>
      </c>
      <c r="G7" t="n">
        <v>20250528</v>
      </c>
      <c r="H7" t="inlineStr">
        <is>
          <t>2025-05-28</t>
        </is>
      </c>
      <c r="I7" t="n">
        <v>20250627</v>
      </c>
      <c r="J7" t="inlineStr">
        <is>
          <t>2025-06-27</t>
        </is>
      </c>
      <c r="K7" s="9" t="n">
        <v>5416.46</v>
      </c>
      <c r="L7" t="inlineStr">
        <is>
          <t>USD</t>
        </is>
      </c>
      <c r="M7" s="4" t="n">
        <v>5416.46</v>
      </c>
      <c r="N7" t="inlineStr">
        <is>
          <t>Paid</t>
        </is>
      </c>
      <c r="O7" t="inlineStr">
        <is>
          <t>False</t>
        </is>
      </c>
      <c r="P7" t="n">
        <v>30</v>
      </c>
      <c r="Q7">
        <f>VLOOKUP(D7,GL_Accounts!$A$2:$E$1048576,5,FALSE)</f>
        <v/>
      </c>
      <c r="R7">
        <f>VLOOKUP(D7,GL_Accounts!$A$2:$E$1048576,4,FALSE)</f>
        <v/>
      </c>
    </row>
    <row r="8">
      <c r="A8" t="inlineStr">
        <is>
          <t>INV200007</t>
        </is>
      </c>
      <c r="B8" t="n">
        <v>50</v>
      </c>
      <c r="C8" t="inlineStr">
        <is>
          <t>V0050</t>
        </is>
      </c>
      <c r="D8" t="n">
        <v>2</v>
      </c>
      <c r="E8" t="n">
        <v>60110</v>
      </c>
      <c r="F8" t="inlineStr">
        <is>
          <t>PO100006</t>
        </is>
      </c>
      <c r="G8" t="n">
        <v>20250713</v>
      </c>
      <c r="H8" t="inlineStr">
        <is>
          <t>2025-07-13</t>
        </is>
      </c>
      <c r="I8" t="n">
        <v>20250812</v>
      </c>
      <c r="J8" t="inlineStr">
        <is>
          <t>2025-08-12</t>
        </is>
      </c>
      <c r="K8" s="9" t="n">
        <v>14014.38</v>
      </c>
      <c r="L8" t="inlineStr">
        <is>
          <t>USD</t>
        </is>
      </c>
      <c r="M8" s="4" t="n">
        <v>14014.38</v>
      </c>
      <c r="N8" t="inlineStr">
        <is>
          <t>Paid</t>
        </is>
      </c>
      <c r="O8" t="inlineStr">
        <is>
          <t>False</t>
        </is>
      </c>
      <c r="P8" t="n">
        <v>30</v>
      </c>
      <c r="Q8">
        <f>VLOOKUP(D8,GL_Accounts!$A$2:$E$1048576,5,FALSE)</f>
        <v/>
      </c>
      <c r="R8">
        <f>VLOOKUP(D8,GL_Accounts!$A$2:$E$1048576,4,FALSE)</f>
        <v/>
      </c>
    </row>
    <row r="9">
      <c r="A9" t="inlineStr">
        <is>
          <t>INV200008</t>
        </is>
      </c>
      <c r="B9" t="n">
        <v>48</v>
      </c>
      <c r="C9" t="inlineStr">
        <is>
          <t>V0048</t>
        </is>
      </c>
      <c r="D9" t="n">
        <v>1</v>
      </c>
      <c r="E9" t="n">
        <v>60100</v>
      </c>
      <c r="F9" t="inlineStr">
        <is>
          <t>PO100007</t>
        </is>
      </c>
      <c r="G9" t="n">
        <v>20241219</v>
      </c>
      <c r="H9" t="inlineStr">
        <is>
          <t>2024-12-19</t>
        </is>
      </c>
      <c r="I9" t="n">
        <v>20250202</v>
      </c>
      <c r="J9" t="inlineStr">
        <is>
          <t>2025-02-02</t>
        </is>
      </c>
      <c r="K9" s="9" t="n">
        <v>6732.35</v>
      </c>
      <c r="L9" t="inlineStr">
        <is>
          <t>USD</t>
        </is>
      </c>
      <c r="M9" s="4" t="n">
        <v>6732.35</v>
      </c>
      <c r="N9" t="inlineStr">
        <is>
          <t>Paid</t>
        </is>
      </c>
      <c r="O9" t="inlineStr">
        <is>
          <t>False</t>
        </is>
      </c>
      <c r="P9" t="n">
        <v>45</v>
      </c>
      <c r="Q9">
        <f>VLOOKUP(D9,GL_Accounts!$A$2:$E$1048576,5,FALSE)</f>
        <v/>
      </c>
      <c r="R9">
        <f>VLOOKUP(D9,GL_Accounts!$A$2:$E$1048576,4,FALSE)</f>
        <v/>
      </c>
    </row>
    <row r="10">
      <c r="A10" t="inlineStr">
        <is>
          <t>INV200009</t>
        </is>
      </c>
      <c r="B10" t="n">
        <v>48</v>
      </c>
      <c r="C10" t="inlineStr">
        <is>
          <t>V0048</t>
        </is>
      </c>
      <c r="D10" t="n">
        <v>2</v>
      </c>
      <c r="E10" t="n">
        <v>60110</v>
      </c>
      <c r="F10" t="inlineStr">
        <is>
          <t>PO100007</t>
        </is>
      </c>
      <c r="G10" t="n">
        <v>20250109</v>
      </c>
      <c r="H10" t="inlineStr">
        <is>
          <t>2025-01-09</t>
        </is>
      </c>
      <c r="I10" t="n">
        <v>20250223</v>
      </c>
      <c r="J10" t="inlineStr">
        <is>
          <t>2025-02-23</t>
        </is>
      </c>
      <c r="K10" s="9" t="n">
        <v>4688.81</v>
      </c>
      <c r="L10" t="inlineStr">
        <is>
          <t>USD</t>
        </is>
      </c>
      <c r="M10" s="4" t="n">
        <v>4688.81</v>
      </c>
      <c r="N10" t="inlineStr">
        <is>
          <t>Paid</t>
        </is>
      </c>
      <c r="O10" t="inlineStr">
        <is>
          <t>False</t>
        </is>
      </c>
      <c r="P10" t="n">
        <v>45</v>
      </c>
      <c r="Q10">
        <f>VLOOKUP(D10,GL_Accounts!$A$2:$E$1048576,5,FALSE)</f>
        <v/>
      </c>
      <c r="R10">
        <f>VLOOKUP(D10,GL_Accounts!$A$2:$E$1048576,4,FALSE)</f>
        <v/>
      </c>
    </row>
    <row r="11">
      <c r="A11" t="inlineStr">
        <is>
          <t>INV200010</t>
        </is>
      </c>
      <c r="B11" t="n">
        <v>31</v>
      </c>
      <c r="C11" t="inlineStr">
        <is>
          <t>V0031</t>
        </is>
      </c>
      <c r="D11" t="n">
        <v>3</v>
      </c>
      <c r="E11" t="n">
        <v>60120</v>
      </c>
      <c r="F11" t="inlineStr">
        <is>
          <t>PO100009</t>
        </is>
      </c>
      <c r="G11" t="n">
        <v>20250921</v>
      </c>
      <c r="H11" t="inlineStr">
        <is>
          <t>2025-09-21</t>
        </is>
      </c>
      <c r="I11" t="n">
        <v>20251021</v>
      </c>
      <c r="J11" t="inlineStr">
        <is>
          <t>2025-10-21</t>
        </is>
      </c>
      <c r="K11" s="9" t="n">
        <v>13451.28</v>
      </c>
      <c r="L11" t="inlineStr">
        <is>
          <t>USD</t>
        </is>
      </c>
      <c r="M11" s="4" t="n">
        <v>13451.28</v>
      </c>
      <c r="N11" t="inlineStr">
        <is>
          <t>Paid</t>
        </is>
      </c>
      <c r="O11" t="inlineStr">
        <is>
          <t>False</t>
        </is>
      </c>
      <c r="P11" t="n">
        <v>30</v>
      </c>
      <c r="Q11">
        <f>VLOOKUP(D11,GL_Accounts!$A$2:$E$1048576,5,FALSE)</f>
        <v/>
      </c>
      <c r="R11">
        <f>VLOOKUP(D11,GL_Accounts!$A$2:$E$1048576,4,FALSE)</f>
        <v/>
      </c>
    </row>
    <row r="12">
      <c r="A12" t="inlineStr">
        <is>
          <t>INV200011</t>
        </is>
      </c>
      <c r="B12" t="n">
        <v>49</v>
      </c>
      <c r="C12" t="inlineStr">
        <is>
          <t>V0049</t>
        </is>
      </c>
      <c r="D12" t="n">
        <v>6</v>
      </c>
      <c r="E12" t="n">
        <v>61100</v>
      </c>
      <c r="F12" t="inlineStr">
        <is>
          <t>PO100010</t>
        </is>
      </c>
      <c r="G12" t="n">
        <v>20241026</v>
      </c>
      <c r="H12" t="inlineStr">
        <is>
          <t>2024-10-26</t>
        </is>
      </c>
      <c r="I12" t="n">
        <v>20241125</v>
      </c>
      <c r="J12" t="inlineStr">
        <is>
          <t>2024-11-25</t>
        </is>
      </c>
      <c r="K12" s="9" t="n">
        <v>25324.16</v>
      </c>
      <c r="L12" t="inlineStr">
        <is>
          <t>USD</t>
        </is>
      </c>
      <c r="M12" s="4" t="n">
        <v>25324.16</v>
      </c>
      <c r="N12" t="inlineStr">
        <is>
          <t>Paid</t>
        </is>
      </c>
      <c r="O12" t="inlineStr">
        <is>
          <t>False</t>
        </is>
      </c>
      <c r="P12" t="n">
        <v>30</v>
      </c>
      <c r="Q12">
        <f>VLOOKUP(D12,GL_Accounts!$A$2:$E$1048576,5,FALSE)</f>
        <v/>
      </c>
      <c r="R12">
        <f>VLOOKUP(D12,GL_Accounts!$A$2:$E$1048576,4,FALSE)</f>
        <v/>
      </c>
    </row>
    <row r="13">
      <c r="A13" t="inlineStr">
        <is>
          <t>INV200012</t>
        </is>
      </c>
      <c r="B13" t="n">
        <v>12</v>
      </c>
      <c r="C13" t="inlineStr">
        <is>
          <t>V0012</t>
        </is>
      </c>
      <c r="D13" t="n">
        <v>12</v>
      </c>
      <c r="E13" t="n">
        <v>62300</v>
      </c>
      <c r="F13" t="inlineStr">
        <is>
          <t>PO100011</t>
        </is>
      </c>
      <c r="G13" t="n">
        <v>20250427</v>
      </c>
      <c r="H13" t="inlineStr">
        <is>
          <t>2025-04-27</t>
        </is>
      </c>
      <c r="I13" t="n">
        <v>20250527</v>
      </c>
      <c r="J13" t="inlineStr">
        <is>
          <t>2025-05-27</t>
        </is>
      </c>
      <c r="K13" s="9" t="n">
        <v>2070.99</v>
      </c>
      <c r="L13" t="inlineStr">
        <is>
          <t>USD</t>
        </is>
      </c>
      <c r="M13" s="4" t="n">
        <v>2070.99</v>
      </c>
      <c r="N13" t="inlineStr">
        <is>
          <t>Paid</t>
        </is>
      </c>
      <c r="O13" t="inlineStr">
        <is>
          <t>False</t>
        </is>
      </c>
      <c r="P13" t="n">
        <v>30</v>
      </c>
      <c r="Q13">
        <f>VLOOKUP(D13,GL_Accounts!$A$2:$E$1048576,5,FALSE)</f>
        <v/>
      </c>
      <c r="R13">
        <f>VLOOKUP(D13,GL_Accounts!$A$2:$E$1048576,4,FALSE)</f>
        <v/>
      </c>
    </row>
    <row r="14">
      <c r="A14" t="inlineStr">
        <is>
          <t>INV200013</t>
        </is>
      </c>
      <c r="B14" t="n">
        <v>32</v>
      </c>
      <c r="C14" t="inlineStr">
        <is>
          <t>V0032</t>
        </is>
      </c>
      <c r="D14" t="n">
        <v>8</v>
      </c>
      <c r="E14" t="n">
        <v>61300</v>
      </c>
      <c r="F14" t="inlineStr">
        <is>
          <t>PO100012</t>
        </is>
      </c>
      <c r="G14" t="n">
        <v>20260212</v>
      </c>
      <c r="H14" t="inlineStr">
        <is>
          <t>2026-02-12</t>
        </is>
      </c>
      <c r="I14" t="n">
        <v>20260329</v>
      </c>
      <c r="J14" t="inlineStr">
        <is>
          <t>2026-03-29</t>
        </is>
      </c>
      <c r="K14" s="9" t="n">
        <v>1853.54</v>
      </c>
      <c r="L14" t="inlineStr">
        <is>
          <t>USD</t>
        </is>
      </c>
      <c r="M14" s="4" t="n">
        <v>1853.54</v>
      </c>
      <c r="N14" t="inlineStr">
        <is>
          <t>Paid</t>
        </is>
      </c>
      <c r="O14" t="inlineStr">
        <is>
          <t>False</t>
        </is>
      </c>
      <c r="P14" t="n">
        <v>45</v>
      </c>
      <c r="Q14">
        <f>VLOOKUP(D14,GL_Accounts!$A$2:$E$1048576,5,FALSE)</f>
        <v/>
      </c>
      <c r="R14">
        <f>VLOOKUP(D14,GL_Accounts!$A$2:$E$1048576,4,FALSE)</f>
        <v/>
      </c>
    </row>
    <row r="15">
      <c r="A15" t="inlineStr">
        <is>
          <t>INV200014</t>
        </is>
      </c>
      <c r="B15" t="n">
        <v>32</v>
      </c>
      <c r="C15" t="inlineStr">
        <is>
          <t>V0032</t>
        </is>
      </c>
      <c r="D15" t="n">
        <v>8</v>
      </c>
      <c r="E15" t="n">
        <v>61300</v>
      </c>
      <c r="F15" t="inlineStr">
        <is>
          <t>PO100012</t>
        </is>
      </c>
      <c r="G15" t="n">
        <v>20260303</v>
      </c>
      <c r="H15" t="inlineStr">
        <is>
          <t>2026-03-03</t>
        </is>
      </c>
      <c r="I15" t="n">
        <v>20260417</v>
      </c>
      <c r="J15" t="inlineStr">
        <is>
          <t>2026-04-17</t>
        </is>
      </c>
      <c r="K15" s="9" t="n">
        <v>22.21</v>
      </c>
      <c r="L15" t="inlineStr">
        <is>
          <t>USD</t>
        </is>
      </c>
      <c r="M15" s="4" t="n">
        <v>22.21</v>
      </c>
      <c r="N15" t="inlineStr">
        <is>
          <t>Paid</t>
        </is>
      </c>
      <c r="O15" t="inlineStr">
        <is>
          <t>False</t>
        </is>
      </c>
      <c r="P15" t="n">
        <v>45</v>
      </c>
      <c r="Q15">
        <f>VLOOKUP(D15,GL_Accounts!$A$2:$E$1048576,5,FALSE)</f>
        <v/>
      </c>
      <c r="R15">
        <f>VLOOKUP(D15,GL_Accounts!$A$2:$E$1048576,4,FALSE)</f>
        <v/>
      </c>
    </row>
    <row r="16">
      <c r="A16" t="inlineStr">
        <is>
          <t>INV200015</t>
        </is>
      </c>
      <c r="B16" t="n">
        <v>32</v>
      </c>
      <c r="C16" t="inlineStr">
        <is>
          <t>V0032</t>
        </is>
      </c>
      <c r="D16" t="n">
        <v>8</v>
      </c>
      <c r="E16" t="n">
        <v>61300</v>
      </c>
      <c r="F16" t="inlineStr">
        <is>
          <t>PO100012</t>
        </is>
      </c>
      <c r="G16" t="n">
        <v>20260418</v>
      </c>
      <c r="H16" t="inlineStr">
        <is>
          <t>2026-04-18</t>
        </is>
      </c>
      <c r="I16" t="n">
        <v>20260602</v>
      </c>
      <c r="J16" t="inlineStr">
        <is>
          <t>2026-06-02</t>
        </is>
      </c>
      <c r="K16" s="9" t="n">
        <v>4130.39</v>
      </c>
      <c r="L16" t="inlineStr">
        <is>
          <t>USD</t>
        </is>
      </c>
      <c r="M16" s="4" t="n">
        <v>4130.39</v>
      </c>
      <c r="N16" t="inlineStr">
        <is>
          <t>Paid</t>
        </is>
      </c>
      <c r="O16" t="inlineStr">
        <is>
          <t>False</t>
        </is>
      </c>
      <c r="P16" t="n">
        <v>45</v>
      </c>
      <c r="Q16">
        <f>VLOOKUP(D16,GL_Accounts!$A$2:$E$1048576,5,FALSE)</f>
        <v/>
      </c>
      <c r="R16">
        <f>VLOOKUP(D16,GL_Accounts!$A$2:$E$1048576,4,FALSE)</f>
        <v/>
      </c>
    </row>
    <row r="17">
      <c r="A17" t="inlineStr">
        <is>
          <t>INV200016</t>
        </is>
      </c>
      <c r="B17" t="n">
        <v>35</v>
      </c>
      <c r="C17" t="inlineStr">
        <is>
          <t>V0035</t>
        </is>
      </c>
      <c r="D17" t="n">
        <v>6</v>
      </c>
      <c r="E17" t="n">
        <v>61100</v>
      </c>
      <c r="F17" t="inlineStr">
        <is>
          <t>PO100013</t>
        </is>
      </c>
      <c r="G17" t="n">
        <v>20251105</v>
      </c>
      <c r="H17" t="inlineStr">
        <is>
          <t>2025-11-05</t>
        </is>
      </c>
      <c r="I17" t="n">
        <v>20251205</v>
      </c>
      <c r="J17" t="inlineStr">
        <is>
          <t>2025-12-05</t>
        </is>
      </c>
      <c r="K17" s="9" t="n">
        <v>4776.18</v>
      </c>
      <c r="L17" t="inlineStr">
        <is>
          <t>GBP</t>
        </is>
      </c>
      <c r="M17" s="4" t="n">
        <v>6065.75</v>
      </c>
      <c r="N17" t="inlineStr">
        <is>
          <t>Paid</t>
        </is>
      </c>
      <c r="O17" t="inlineStr">
        <is>
          <t>False</t>
        </is>
      </c>
      <c r="P17" t="n">
        <v>30</v>
      </c>
      <c r="Q17">
        <f>VLOOKUP(D17,GL_Accounts!$A$2:$E$1048576,5,FALSE)</f>
        <v/>
      </c>
      <c r="R17">
        <f>VLOOKUP(D17,GL_Accounts!$A$2:$E$1048576,4,FALSE)</f>
        <v/>
      </c>
    </row>
    <row r="18">
      <c r="A18" t="inlineStr">
        <is>
          <t>INV200017</t>
        </is>
      </c>
      <c r="B18" t="n">
        <v>63</v>
      </c>
      <c r="C18" t="inlineStr">
        <is>
          <t>V0043</t>
        </is>
      </c>
      <c r="D18" t="n">
        <v>7</v>
      </c>
      <c r="E18" t="n">
        <v>61200</v>
      </c>
      <c r="F18" t="inlineStr">
        <is>
          <t>PO100014</t>
        </is>
      </c>
      <c r="G18" t="n">
        <v>20251205</v>
      </c>
      <c r="H18" t="inlineStr">
        <is>
          <t>2025-12-05</t>
        </is>
      </c>
      <c r="I18" t="n">
        <v>20251220</v>
      </c>
      <c r="J18" t="inlineStr">
        <is>
          <t>2025-12-20</t>
        </is>
      </c>
      <c r="K18" s="9" t="n">
        <v>20499.78</v>
      </c>
      <c r="L18" t="inlineStr">
        <is>
          <t>USD</t>
        </is>
      </c>
      <c r="M18" s="4" t="n">
        <v>20499.78</v>
      </c>
      <c r="N18" t="inlineStr">
        <is>
          <t>Unpaid</t>
        </is>
      </c>
      <c r="O18" t="inlineStr">
        <is>
          <t>False</t>
        </is>
      </c>
      <c r="P18" t="n">
        <v>15</v>
      </c>
      <c r="Q18">
        <f>VLOOKUP(D18,GL_Accounts!$A$2:$E$1048576,5,FALSE)</f>
        <v/>
      </c>
      <c r="R18">
        <f>VLOOKUP(D18,GL_Accounts!$A$2:$E$1048576,4,FALSE)</f>
        <v/>
      </c>
    </row>
    <row r="19">
      <c r="A19" t="inlineStr">
        <is>
          <t>INV200018</t>
        </is>
      </c>
      <c r="B19" t="n">
        <v>9</v>
      </c>
      <c r="C19" t="inlineStr">
        <is>
          <t>V0009</t>
        </is>
      </c>
      <c r="D19" t="n">
        <v>7</v>
      </c>
      <c r="E19" t="n">
        <v>61200</v>
      </c>
      <c r="F19" t="inlineStr">
        <is>
          <t>PO100015</t>
        </is>
      </c>
      <c r="G19" t="n">
        <v>20251009</v>
      </c>
      <c r="H19" t="inlineStr">
        <is>
          <t>2025-10-09</t>
        </is>
      </c>
      <c r="I19" t="n">
        <v>20251024</v>
      </c>
      <c r="J19" t="inlineStr">
        <is>
          <t>2025-10-24</t>
        </is>
      </c>
      <c r="K19" s="9" t="n">
        <v>744.4400000000001</v>
      </c>
      <c r="L19" t="inlineStr">
        <is>
          <t>USD</t>
        </is>
      </c>
      <c r="M19" s="4" t="n">
        <v>744.4400000000001</v>
      </c>
      <c r="N19" t="inlineStr">
        <is>
          <t>Paid</t>
        </is>
      </c>
      <c r="O19" t="inlineStr">
        <is>
          <t>False</t>
        </is>
      </c>
      <c r="P19" t="n">
        <v>15</v>
      </c>
      <c r="Q19">
        <f>VLOOKUP(D19,GL_Accounts!$A$2:$E$1048576,5,FALSE)</f>
        <v/>
      </c>
      <c r="R19">
        <f>VLOOKUP(D19,GL_Accounts!$A$2:$E$1048576,4,FALSE)</f>
        <v/>
      </c>
    </row>
    <row r="20">
      <c r="A20" t="inlineStr">
        <is>
          <t>INV200019</t>
        </is>
      </c>
      <c r="B20" t="n">
        <v>9</v>
      </c>
      <c r="C20" t="inlineStr">
        <is>
          <t>V0009</t>
        </is>
      </c>
      <c r="D20" t="n">
        <v>6</v>
      </c>
      <c r="E20" t="n">
        <v>61100</v>
      </c>
      <c r="F20" t="inlineStr">
        <is>
          <t>PO100015</t>
        </is>
      </c>
      <c r="G20" t="n">
        <v>20251014</v>
      </c>
      <c r="H20" t="inlineStr">
        <is>
          <t>2025-10-14</t>
        </is>
      </c>
      <c r="I20" t="n">
        <v>20251029</v>
      </c>
      <c r="J20" t="inlineStr">
        <is>
          <t>2025-10-29</t>
        </is>
      </c>
      <c r="K20" s="9" t="n">
        <v>1755.23</v>
      </c>
      <c r="L20" t="inlineStr">
        <is>
          <t>USD</t>
        </is>
      </c>
      <c r="M20" s="4" t="n">
        <v>1755.23</v>
      </c>
      <c r="N20" t="inlineStr">
        <is>
          <t>Paid</t>
        </is>
      </c>
      <c r="O20" t="inlineStr">
        <is>
          <t>False</t>
        </is>
      </c>
      <c r="P20" t="n">
        <v>15</v>
      </c>
      <c r="Q20">
        <f>VLOOKUP(D20,GL_Accounts!$A$2:$E$1048576,5,FALSE)</f>
        <v/>
      </c>
      <c r="R20">
        <f>VLOOKUP(D20,GL_Accounts!$A$2:$E$1048576,4,FALSE)</f>
        <v/>
      </c>
    </row>
    <row r="21">
      <c r="A21" t="inlineStr">
        <is>
          <t>INV200020</t>
        </is>
      </c>
      <c r="B21" t="n">
        <v>38</v>
      </c>
      <c r="C21" t="inlineStr">
        <is>
          <t>V0038</t>
        </is>
      </c>
      <c r="D21" t="n">
        <v>9</v>
      </c>
      <c r="E21" t="n">
        <v>61400</v>
      </c>
      <c r="F21" t="inlineStr">
        <is>
          <t>PO100016</t>
        </is>
      </c>
      <c r="G21" t="n">
        <v>20260706</v>
      </c>
      <c r="H21" t="inlineStr">
        <is>
          <t>2026-07-06</t>
        </is>
      </c>
      <c r="I21" t="n">
        <v>20260820</v>
      </c>
      <c r="J21" t="inlineStr">
        <is>
          <t>2026-08-20</t>
        </is>
      </c>
      <c r="K21" s="9" t="n">
        <v>14124.11</v>
      </c>
      <c r="L21" t="inlineStr">
        <is>
          <t>USD</t>
        </is>
      </c>
      <c r="M21" s="4" t="n">
        <v>14124.11</v>
      </c>
      <c r="N21" t="inlineStr">
        <is>
          <t>Unpaid</t>
        </is>
      </c>
      <c r="O21" t="inlineStr">
        <is>
          <t>False</t>
        </is>
      </c>
      <c r="P21" t="n">
        <v>45</v>
      </c>
      <c r="Q21">
        <f>VLOOKUP(D21,GL_Accounts!$A$2:$E$1048576,5,FALSE)</f>
        <v/>
      </c>
      <c r="R21">
        <f>VLOOKUP(D21,GL_Accounts!$A$2:$E$1048576,4,FALSE)</f>
        <v/>
      </c>
    </row>
    <row r="22">
      <c r="A22" t="inlineStr">
        <is>
          <t>INV200021</t>
        </is>
      </c>
      <c r="B22" t="n">
        <v>32</v>
      </c>
      <c r="C22" t="inlineStr">
        <is>
          <t>V0032</t>
        </is>
      </c>
      <c r="D22" t="n">
        <v>6</v>
      </c>
      <c r="E22" t="n">
        <v>61100</v>
      </c>
      <c r="F22" t="inlineStr">
        <is>
          <t>PO100017</t>
        </is>
      </c>
      <c r="G22" t="n">
        <v>20251226</v>
      </c>
      <c r="H22" t="inlineStr">
        <is>
          <t>2025-12-26</t>
        </is>
      </c>
      <c r="I22" t="n">
        <v>20260209</v>
      </c>
      <c r="J22" t="inlineStr">
        <is>
          <t>2026-02-09</t>
        </is>
      </c>
      <c r="K22" s="9" t="n">
        <v>4803.72</v>
      </c>
      <c r="L22" t="inlineStr">
        <is>
          <t>USD</t>
        </is>
      </c>
      <c r="M22" s="4" t="n">
        <v>4803.72</v>
      </c>
      <c r="N22" t="inlineStr">
        <is>
          <t>Paid</t>
        </is>
      </c>
      <c r="O22" t="inlineStr">
        <is>
          <t>False</t>
        </is>
      </c>
      <c r="P22" t="n">
        <v>45</v>
      </c>
      <c r="Q22">
        <f>VLOOKUP(D22,GL_Accounts!$A$2:$E$1048576,5,FALSE)</f>
        <v/>
      </c>
      <c r="R22">
        <f>VLOOKUP(D22,GL_Accounts!$A$2:$E$1048576,4,FALSE)</f>
        <v/>
      </c>
    </row>
    <row r="23">
      <c r="A23" t="inlineStr">
        <is>
          <t>INV200022</t>
        </is>
      </c>
      <c r="B23" t="n">
        <v>37</v>
      </c>
      <c r="C23" t="inlineStr">
        <is>
          <t>V0037</t>
        </is>
      </c>
      <c r="D23" t="n">
        <v>10</v>
      </c>
      <c r="E23" t="n">
        <v>62100</v>
      </c>
      <c r="F23" t="inlineStr">
        <is>
          <t>PO100018</t>
        </is>
      </c>
      <c r="G23" t="n">
        <v>20260205</v>
      </c>
      <c r="H23" t="inlineStr">
        <is>
          <t>2026-02-05</t>
        </is>
      </c>
      <c r="I23" t="n">
        <v>20260406</v>
      </c>
      <c r="J23" t="inlineStr">
        <is>
          <t>2026-04-06</t>
        </is>
      </c>
      <c r="K23" s="9" t="n">
        <v>387.6</v>
      </c>
      <c r="L23" t="inlineStr">
        <is>
          <t>USD</t>
        </is>
      </c>
      <c r="M23" s="4" t="n">
        <v>387.6</v>
      </c>
      <c r="N23" t="inlineStr">
        <is>
          <t>Paid</t>
        </is>
      </c>
      <c r="O23" t="inlineStr">
        <is>
          <t>False</t>
        </is>
      </c>
      <c r="P23" t="n">
        <v>60</v>
      </c>
      <c r="Q23">
        <f>VLOOKUP(D23,GL_Accounts!$A$2:$E$1048576,5,FALSE)</f>
        <v/>
      </c>
      <c r="R23">
        <f>VLOOKUP(D23,GL_Accounts!$A$2:$E$1048576,4,FALSE)</f>
        <v/>
      </c>
    </row>
    <row r="24">
      <c r="A24" t="inlineStr">
        <is>
          <t>INV200023</t>
        </is>
      </c>
      <c r="B24" t="n">
        <v>37</v>
      </c>
      <c r="C24" t="inlineStr">
        <is>
          <t>V0037</t>
        </is>
      </c>
      <c r="D24" t="n">
        <v>12</v>
      </c>
      <c r="E24" t="n">
        <v>62300</v>
      </c>
      <c r="F24" t="inlineStr">
        <is>
          <t>PO100018</t>
        </is>
      </c>
      <c r="G24" t="n">
        <v>20260301</v>
      </c>
      <c r="H24" t="inlineStr">
        <is>
          <t>2026-03-01</t>
        </is>
      </c>
      <c r="I24" t="n">
        <v>20260430</v>
      </c>
      <c r="J24" t="inlineStr">
        <is>
          <t>2026-04-30</t>
        </is>
      </c>
      <c r="K24" s="9" t="n">
        <v>175.72</v>
      </c>
      <c r="L24" t="inlineStr">
        <is>
          <t>USD</t>
        </is>
      </c>
      <c r="M24" s="4" t="n">
        <v>175.72</v>
      </c>
      <c r="N24" t="inlineStr">
        <is>
          <t>Paid</t>
        </is>
      </c>
      <c r="O24" t="inlineStr">
        <is>
          <t>False</t>
        </is>
      </c>
      <c r="P24" t="n">
        <v>60</v>
      </c>
      <c r="Q24">
        <f>VLOOKUP(D24,GL_Accounts!$A$2:$E$1048576,5,FALSE)</f>
        <v/>
      </c>
      <c r="R24">
        <f>VLOOKUP(D24,GL_Accounts!$A$2:$E$1048576,4,FALSE)</f>
        <v/>
      </c>
    </row>
    <row r="25">
      <c r="A25" t="inlineStr">
        <is>
          <t>INV200024</t>
        </is>
      </c>
      <c r="B25" t="n">
        <v>17</v>
      </c>
      <c r="C25" t="inlineStr">
        <is>
          <t>V0017</t>
        </is>
      </c>
      <c r="D25" t="n">
        <v>8</v>
      </c>
      <c r="E25" t="n">
        <v>61300</v>
      </c>
      <c r="F25" t="inlineStr">
        <is>
          <t>PO100019</t>
        </is>
      </c>
      <c r="G25" t="n">
        <v>20260330</v>
      </c>
      <c r="H25" t="inlineStr">
        <is>
          <t>2026-03-30</t>
        </is>
      </c>
      <c r="I25" t="n">
        <v>20260514</v>
      </c>
      <c r="J25" t="inlineStr">
        <is>
          <t>2026-05-14</t>
        </is>
      </c>
      <c r="K25" s="9" t="n">
        <v>5570.42</v>
      </c>
      <c r="L25" t="inlineStr">
        <is>
          <t>USD</t>
        </is>
      </c>
      <c r="M25" s="4" t="n">
        <v>5570.42</v>
      </c>
      <c r="N25" t="inlineStr">
        <is>
          <t>Paid</t>
        </is>
      </c>
      <c r="O25" t="inlineStr">
        <is>
          <t>False</t>
        </is>
      </c>
      <c r="P25" t="n">
        <v>45</v>
      </c>
      <c r="Q25">
        <f>VLOOKUP(D25,GL_Accounts!$A$2:$E$1048576,5,FALSE)</f>
        <v/>
      </c>
      <c r="R25">
        <f>VLOOKUP(D25,GL_Accounts!$A$2:$E$1048576,4,FALSE)</f>
        <v/>
      </c>
    </row>
    <row r="26">
      <c r="A26" t="inlineStr">
        <is>
          <t>INV200025</t>
        </is>
      </c>
      <c r="B26" t="n">
        <v>48</v>
      </c>
      <c r="C26" t="inlineStr">
        <is>
          <t>V0048</t>
        </is>
      </c>
      <c r="D26" t="n">
        <v>1</v>
      </c>
      <c r="E26" t="n">
        <v>60100</v>
      </c>
      <c r="F26" t="inlineStr">
        <is>
          <t>PO100020</t>
        </is>
      </c>
      <c r="G26" t="n">
        <v>20250917</v>
      </c>
      <c r="H26" t="inlineStr">
        <is>
          <t>2025-09-17</t>
        </is>
      </c>
      <c r="I26" t="n">
        <v>20251101</v>
      </c>
      <c r="J26" t="inlineStr">
        <is>
          <t>2025-11-01</t>
        </is>
      </c>
      <c r="K26" s="9" t="n">
        <v>11304.74</v>
      </c>
      <c r="L26" t="inlineStr">
        <is>
          <t>USD</t>
        </is>
      </c>
      <c r="M26" s="4" t="n">
        <v>11304.74</v>
      </c>
      <c r="N26" t="inlineStr">
        <is>
          <t>Paid</t>
        </is>
      </c>
      <c r="O26" t="inlineStr">
        <is>
          <t>False</t>
        </is>
      </c>
      <c r="P26" t="n">
        <v>45</v>
      </c>
      <c r="Q26">
        <f>VLOOKUP(D26,GL_Accounts!$A$2:$E$1048576,5,FALSE)</f>
        <v/>
      </c>
      <c r="R26">
        <f>VLOOKUP(D26,GL_Accounts!$A$2:$E$1048576,4,FALSE)</f>
        <v/>
      </c>
    </row>
    <row r="27">
      <c r="A27" t="inlineStr">
        <is>
          <t>INV200026</t>
        </is>
      </c>
      <c r="B27" t="n">
        <v>48</v>
      </c>
      <c r="C27" t="inlineStr">
        <is>
          <t>V0048</t>
        </is>
      </c>
      <c r="D27" t="n">
        <v>2</v>
      </c>
      <c r="E27" t="n">
        <v>60110</v>
      </c>
      <c r="F27" t="inlineStr">
        <is>
          <t>PO100020</t>
        </is>
      </c>
      <c r="G27" t="n">
        <v>20251016</v>
      </c>
      <c r="H27" t="inlineStr">
        <is>
          <t>2025-10-16</t>
        </is>
      </c>
      <c r="I27" t="n">
        <v>20251130</v>
      </c>
      <c r="J27" t="inlineStr">
        <is>
          <t>2025-11-30</t>
        </is>
      </c>
      <c r="K27" s="9" t="n">
        <v>37181.12</v>
      </c>
      <c r="L27" t="inlineStr">
        <is>
          <t>USD</t>
        </is>
      </c>
      <c r="M27" s="4" t="n">
        <v>37181.12</v>
      </c>
      <c r="N27" t="inlineStr">
        <is>
          <t>Paid</t>
        </is>
      </c>
      <c r="O27" t="inlineStr">
        <is>
          <t>False</t>
        </is>
      </c>
      <c r="P27" t="n">
        <v>45</v>
      </c>
      <c r="Q27">
        <f>VLOOKUP(D27,GL_Accounts!$A$2:$E$1048576,5,FALSE)</f>
        <v/>
      </c>
      <c r="R27">
        <f>VLOOKUP(D27,GL_Accounts!$A$2:$E$1048576,4,FALSE)</f>
        <v/>
      </c>
    </row>
    <row r="28">
      <c r="A28" t="inlineStr">
        <is>
          <t>INV200027</t>
        </is>
      </c>
      <c r="B28" t="n">
        <v>61</v>
      </c>
      <c r="C28" t="inlineStr">
        <is>
          <t>V0008</t>
        </is>
      </c>
      <c r="D28" t="n">
        <v>14</v>
      </c>
      <c r="E28" t="n">
        <v>63100</v>
      </c>
      <c r="F28" t="inlineStr">
        <is>
          <t>PO100022</t>
        </is>
      </c>
      <c r="G28" t="n">
        <v>20260424</v>
      </c>
      <c r="H28" t="inlineStr">
        <is>
          <t>2026-04-24</t>
        </is>
      </c>
      <c r="I28" t="n">
        <v>20260509</v>
      </c>
      <c r="J28" t="inlineStr">
        <is>
          <t>2026-05-09</t>
        </is>
      </c>
      <c r="K28" s="9" t="n">
        <v>406.71</v>
      </c>
      <c r="L28" t="inlineStr">
        <is>
          <t>EUR</t>
        </is>
      </c>
      <c r="M28" s="4" t="n">
        <v>439.25</v>
      </c>
      <c r="N28" t="inlineStr">
        <is>
          <t>Paid</t>
        </is>
      </c>
      <c r="O28" t="inlineStr">
        <is>
          <t>False</t>
        </is>
      </c>
      <c r="P28" t="n">
        <v>15</v>
      </c>
      <c r="Q28">
        <f>VLOOKUP(D28,GL_Accounts!$A$2:$E$1048576,5,FALSE)</f>
        <v/>
      </c>
      <c r="R28">
        <f>VLOOKUP(D28,GL_Accounts!$A$2:$E$1048576,4,FALSE)</f>
        <v/>
      </c>
    </row>
    <row r="29">
      <c r="A29" t="inlineStr">
        <is>
          <t>INV200028</t>
        </is>
      </c>
      <c r="B29" t="n">
        <v>61</v>
      </c>
      <c r="C29" t="inlineStr">
        <is>
          <t>V0008</t>
        </is>
      </c>
      <c r="D29" t="n">
        <v>14</v>
      </c>
      <c r="E29" t="n">
        <v>63100</v>
      </c>
      <c r="F29" t="inlineStr">
        <is>
          <t>PO100022</t>
        </is>
      </c>
      <c r="G29" t="n">
        <v>20260606</v>
      </c>
      <c r="H29" t="inlineStr">
        <is>
          <t>2026-06-06</t>
        </is>
      </c>
      <c r="I29" t="n">
        <v>20260621</v>
      </c>
      <c r="J29" t="inlineStr">
        <is>
          <t>2026-06-21</t>
        </is>
      </c>
      <c r="K29" s="9" t="n">
        <v>130.48</v>
      </c>
      <c r="L29" t="inlineStr">
        <is>
          <t>EUR</t>
        </is>
      </c>
      <c r="M29" s="4" t="n">
        <v>140.92</v>
      </c>
      <c r="N29" t="inlineStr">
        <is>
          <t>Unpaid</t>
        </is>
      </c>
      <c r="O29" t="inlineStr">
        <is>
          <t>False</t>
        </is>
      </c>
      <c r="P29" t="n">
        <v>15</v>
      </c>
      <c r="Q29">
        <f>VLOOKUP(D29,GL_Accounts!$A$2:$E$1048576,5,FALSE)</f>
        <v/>
      </c>
      <c r="R29">
        <f>VLOOKUP(D29,GL_Accounts!$A$2:$E$1048576,4,FALSE)</f>
        <v/>
      </c>
    </row>
    <row r="30">
      <c r="A30" t="inlineStr">
        <is>
          <t>INV200029</t>
        </is>
      </c>
      <c r="B30" t="n">
        <v>9</v>
      </c>
      <c r="C30" t="inlineStr">
        <is>
          <t>V0009</t>
        </is>
      </c>
      <c r="D30" t="n">
        <v>8</v>
      </c>
      <c r="E30" t="n">
        <v>61300</v>
      </c>
      <c r="F30" t="inlineStr">
        <is>
          <t>PO100023</t>
        </is>
      </c>
      <c r="G30" t="n">
        <v>20250519</v>
      </c>
      <c r="H30" t="inlineStr">
        <is>
          <t>2025-05-19</t>
        </is>
      </c>
      <c r="I30" t="n">
        <v>20250603</v>
      </c>
      <c r="J30" t="inlineStr">
        <is>
          <t>2025-06-03</t>
        </is>
      </c>
      <c r="K30" s="9" t="n">
        <v>11662.67</v>
      </c>
      <c r="L30" t="inlineStr">
        <is>
          <t>USD</t>
        </is>
      </c>
      <c r="M30" s="4" t="n">
        <v>11662.67</v>
      </c>
      <c r="N30" t="inlineStr">
        <is>
          <t>Paid</t>
        </is>
      </c>
      <c r="O30" t="inlineStr">
        <is>
          <t>False</t>
        </is>
      </c>
      <c r="P30" t="n">
        <v>15</v>
      </c>
      <c r="Q30">
        <f>VLOOKUP(D30,GL_Accounts!$A$2:$E$1048576,5,FALSE)</f>
        <v/>
      </c>
      <c r="R30">
        <f>VLOOKUP(D30,GL_Accounts!$A$2:$E$1048576,4,FALSE)</f>
        <v/>
      </c>
    </row>
    <row r="31">
      <c r="A31" t="inlineStr">
        <is>
          <t>INV200030</t>
        </is>
      </c>
      <c r="B31" t="n">
        <v>38</v>
      </c>
      <c r="C31" t="inlineStr">
        <is>
          <t>V0038</t>
        </is>
      </c>
      <c r="D31" t="n">
        <v>7</v>
      </c>
      <c r="E31" t="n">
        <v>61200</v>
      </c>
      <c r="F31" t="inlineStr">
        <is>
          <t>PO100024</t>
        </is>
      </c>
      <c r="G31" t="n">
        <v>20250305</v>
      </c>
      <c r="H31" t="inlineStr">
        <is>
          <t>2025-03-05</t>
        </is>
      </c>
      <c r="I31" t="n">
        <v>20250419</v>
      </c>
      <c r="J31" t="inlineStr">
        <is>
          <t>2025-04-19</t>
        </is>
      </c>
      <c r="K31" s="9" t="n">
        <v>7007.98</v>
      </c>
      <c r="L31" t="inlineStr">
        <is>
          <t>USD</t>
        </is>
      </c>
      <c r="M31" s="4" t="n">
        <v>7007.98</v>
      </c>
      <c r="N31" t="inlineStr">
        <is>
          <t>Paid</t>
        </is>
      </c>
      <c r="O31" t="inlineStr">
        <is>
          <t>False</t>
        </is>
      </c>
      <c r="P31" t="n">
        <v>45</v>
      </c>
      <c r="Q31">
        <f>VLOOKUP(D31,GL_Accounts!$A$2:$E$1048576,5,FALSE)</f>
        <v/>
      </c>
      <c r="R31">
        <f>VLOOKUP(D31,GL_Accounts!$A$2:$E$1048576,4,FALSE)</f>
        <v/>
      </c>
    </row>
    <row r="32">
      <c r="A32" t="inlineStr">
        <is>
          <t>INV200031</t>
        </is>
      </c>
      <c r="B32" t="n">
        <v>38</v>
      </c>
      <c r="C32" t="inlineStr">
        <is>
          <t>V0038</t>
        </is>
      </c>
      <c r="D32" t="n">
        <v>9</v>
      </c>
      <c r="E32" t="n">
        <v>61400</v>
      </c>
      <c r="F32" t="inlineStr">
        <is>
          <t>PO100025</t>
        </is>
      </c>
      <c r="G32" t="n">
        <v>20260708</v>
      </c>
      <c r="H32" t="inlineStr">
        <is>
          <t>2026-07-08</t>
        </is>
      </c>
      <c r="I32" t="n">
        <v>20260822</v>
      </c>
      <c r="J32" t="inlineStr">
        <is>
          <t>2026-08-22</t>
        </is>
      </c>
      <c r="K32" s="9" t="n">
        <v>13442.38</v>
      </c>
      <c r="L32" t="inlineStr">
        <is>
          <t>USD</t>
        </is>
      </c>
      <c r="M32" s="4" t="n">
        <v>13442.38</v>
      </c>
      <c r="N32" t="inlineStr">
        <is>
          <t>Paid</t>
        </is>
      </c>
      <c r="O32" t="inlineStr">
        <is>
          <t>False</t>
        </is>
      </c>
      <c r="P32" t="n">
        <v>45</v>
      </c>
      <c r="Q32">
        <f>VLOOKUP(D32,GL_Accounts!$A$2:$E$1048576,5,FALSE)</f>
        <v/>
      </c>
      <c r="R32">
        <f>VLOOKUP(D32,GL_Accounts!$A$2:$E$1048576,4,FALSE)</f>
        <v/>
      </c>
    </row>
    <row r="33">
      <c r="A33" t="inlineStr">
        <is>
          <t>INV200032</t>
        </is>
      </c>
      <c r="B33" t="n">
        <v>16</v>
      </c>
      <c r="C33" t="inlineStr">
        <is>
          <t>V0016</t>
        </is>
      </c>
      <c r="D33" t="n">
        <v>8</v>
      </c>
      <c r="E33" t="n">
        <v>61300</v>
      </c>
      <c r="F33" t="inlineStr">
        <is>
          <t>PO100028</t>
        </is>
      </c>
      <c r="G33" t="n">
        <v>20241107</v>
      </c>
      <c r="H33" t="inlineStr">
        <is>
          <t>2024-11-07</t>
        </is>
      </c>
      <c r="I33" t="n">
        <v>20241207</v>
      </c>
      <c r="J33" t="inlineStr">
        <is>
          <t>2024-12-07</t>
        </is>
      </c>
      <c r="K33" s="9" t="n">
        <v>14487.03</v>
      </c>
      <c r="L33" t="inlineStr">
        <is>
          <t>USD</t>
        </is>
      </c>
      <c r="M33" s="4" t="n">
        <v>14487.03</v>
      </c>
      <c r="N33" t="inlineStr">
        <is>
          <t>Paid</t>
        </is>
      </c>
      <c r="O33" t="inlineStr">
        <is>
          <t>False</t>
        </is>
      </c>
      <c r="P33" t="n">
        <v>30</v>
      </c>
      <c r="Q33">
        <f>VLOOKUP(D33,GL_Accounts!$A$2:$E$1048576,5,FALSE)</f>
        <v/>
      </c>
      <c r="R33">
        <f>VLOOKUP(D33,GL_Accounts!$A$2:$E$1048576,4,FALSE)</f>
        <v/>
      </c>
    </row>
    <row r="34">
      <c r="A34" t="inlineStr">
        <is>
          <t>INV200033</t>
        </is>
      </c>
      <c r="B34" t="n">
        <v>16</v>
      </c>
      <c r="C34" t="inlineStr">
        <is>
          <t>V0016</t>
        </is>
      </c>
      <c r="D34" t="n">
        <v>18</v>
      </c>
      <c r="E34" t="n">
        <v>64200</v>
      </c>
      <c r="F34" t="inlineStr">
        <is>
          <t>PO100028</t>
        </is>
      </c>
      <c r="G34" t="n">
        <v>20241226</v>
      </c>
      <c r="H34" t="inlineStr">
        <is>
          <t>2024-12-26</t>
        </is>
      </c>
      <c r="I34" t="n">
        <v>20250125</v>
      </c>
      <c r="J34" t="inlineStr">
        <is>
          <t>2025-01-25</t>
        </is>
      </c>
      <c r="K34" s="9" t="n">
        <v>18072.55</v>
      </c>
      <c r="L34" t="inlineStr">
        <is>
          <t>USD</t>
        </is>
      </c>
      <c r="M34" s="4" t="n">
        <v>18072.55</v>
      </c>
      <c r="N34" t="inlineStr">
        <is>
          <t>Paid</t>
        </is>
      </c>
      <c r="O34" t="inlineStr">
        <is>
          <t>False</t>
        </is>
      </c>
      <c r="P34" t="n">
        <v>30</v>
      </c>
      <c r="Q34">
        <f>VLOOKUP(D34,GL_Accounts!$A$2:$E$1048576,5,FALSE)</f>
        <v/>
      </c>
      <c r="R34">
        <f>VLOOKUP(D34,GL_Accounts!$A$2:$E$1048576,4,FALSE)</f>
        <v/>
      </c>
    </row>
    <row r="35">
      <c r="A35" t="inlineStr">
        <is>
          <t>INV200034</t>
        </is>
      </c>
      <c r="B35" t="n">
        <v>42</v>
      </c>
      <c r="C35" t="inlineStr">
        <is>
          <t>V0042</t>
        </is>
      </c>
      <c r="D35" t="n">
        <v>19</v>
      </c>
      <c r="E35" t="n">
        <v>64300</v>
      </c>
      <c r="F35" t="inlineStr">
        <is>
          <t>PO100029</t>
        </is>
      </c>
      <c r="G35" t="n">
        <v>20260317</v>
      </c>
      <c r="H35" t="inlineStr">
        <is>
          <t>2026-03-17</t>
        </is>
      </c>
      <c r="I35" t="n">
        <v>20260501</v>
      </c>
      <c r="J35" t="inlineStr">
        <is>
          <t>2026-05-01</t>
        </is>
      </c>
      <c r="K35" s="9" t="n">
        <v>7365.82</v>
      </c>
      <c r="L35" t="inlineStr">
        <is>
          <t>USD</t>
        </is>
      </c>
      <c r="M35" s="4" t="n">
        <v>7365.82</v>
      </c>
      <c r="N35" t="inlineStr">
        <is>
          <t>Paid</t>
        </is>
      </c>
      <c r="O35" t="inlineStr">
        <is>
          <t>False</t>
        </is>
      </c>
      <c r="P35" t="n">
        <v>45</v>
      </c>
      <c r="Q35">
        <f>VLOOKUP(D35,GL_Accounts!$A$2:$E$1048576,5,FALSE)</f>
        <v/>
      </c>
      <c r="R35">
        <f>VLOOKUP(D35,GL_Accounts!$A$2:$E$1048576,4,FALSE)</f>
        <v/>
      </c>
    </row>
    <row r="36">
      <c r="A36" t="inlineStr">
        <is>
          <t>INV200035</t>
        </is>
      </c>
      <c r="B36" t="n">
        <v>42</v>
      </c>
      <c r="C36" t="inlineStr">
        <is>
          <t>V0042</t>
        </is>
      </c>
      <c r="D36" t="n">
        <v>19</v>
      </c>
      <c r="E36" t="n">
        <v>64300</v>
      </c>
      <c r="F36" t="inlineStr">
        <is>
          <t>PO100029</t>
        </is>
      </c>
      <c r="G36" t="n">
        <v>20260413</v>
      </c>
      <c r="H36" t="inlineStr">
        <is>
          <t>2026-04-13</t>
        </is>
      </c>
      <c r="I36" t="n">
        <v>20260528</v>
      </c>
      <c r="J36" t="inlineStr">
        <is>
          <t>2026-05-28</t>
        </is>
      </c>
      <c r="K36" s="9" t="n">
        <v>21124.91</v>
      </c>
      <c r="L36" t="inlineStr">
        <is>
          <t>USD</t>
        </is>
      </c>
      <c r="M36" s="4" t="n">
        <v>21124.91</v>
      </c>
      <c r="N36" t="inlineStr">
        <is>
          <t>Paid</t>
        </is>
      </c>
      <c r="O36" t="inlineStr">
        <is>
          <t>False</t>
        </is>
      </c>
      <c r="P36" t="n">
        <v>45</v>
      </c>
      <c r="Q36">
        <f>VLOOKUP(D36,GL_Accounts!$A$2:$E$1048576,5,FALSE)</f>
        <v/>
      </c>
      <c r="R36">
        <f>VLOOKUP(D36,GL_Accounts!$A$2:$E$1048576,4,FALSE)</f>
        <v/>
      </c>
    </row>
    <row r="37">
      <c r="A37" t="inlineStr">
        <is>
          <t>INV200036</t>
        </is>
      </c>
      <c r="B37" t="n">
        <v>34</v>
      </c>
      <c r="C37" t="inlineStr">
        <is>
          <t>V0034</t>
        </is>
      </c>
      <c r="D37" t="n">
        <v>20</v>
      </c>
      <c r="E37" t="n">
        <v>65100</v>
      </c>
      <c r="F37" t="inlineStr">
        <is>
          <t>PO100030</t>
        </is>
      </c>
      <c r="G37" t="n">
        <v>20250407</v>
      </c>
      <c r="H37" t="inlineStr">
        <is>
          <t>2025-04-07</t>
        </is>
      </c>
      <c r="I37" t="n">
        <v>20250422</v>
      </c>
      <c r="J37" t="inlineStr">
        <is>
          <t>2025-04-22</t>
        </is>
      </c>
      <c r="K37" s="9" t="n">
        <v>545.9</v>
      </c>
      <c r="L37" t="inlineStr">
        <is>
          <t>EUR</t>
        </is>
      </c>
      <c r="M37" s="4" t="n">
        <v>589.5700000000001</v>
      </c>
      <c r="N37" t="inlineStr">
        <is>
          <t>Paid</t>
        </is>
      </c>
      <c r="O37" t="inlineStr">
        <is>
          <t>False</t>
        </is>
      </c>
      <c r="P37" t="n">
        <v>15</v>
      </c>
      <c r="Q37">
        <f>VLOOKUP(D37,GL_Accounts!$A$2:$E$1048576,5,FALSE)</f>
        <v/>
      </c>
      <c r="R37">
        <f>VLOOKUP(D37,GL_Accounts!$A$2:$E$1048576,4,FALSE)</f>
        <v/>
      </c>
    </row>
    <row r="38">
      <c r="A38" t="inlineStr">
        <is>
          <t>INV200037</t>
        </is>
      </c>
      <c r="B38" t="n">
        <v>38</v>
      </c>
      <c r="C38" t="inlineStr">
        <is>
          <t>V0038</t>
        </is>
      </c>
      <c r="D38" t="n">
        <v>9</v>
      </c>
      <c r="E38" t="n">
        <v>61400</v>
      </c>
      <c r="F38" t="inlineStr">
        <is>
          <t>PO100031</t>
        </is>
      </c>
      <c r="G38" t="n">
        <v>20251115</v>
      </c>
      <c r="H38" t="inlineStr">
        <is>
          <t>2025-11-15</t>
        </is>
      </c>
      <c r="I38" t="n">
        <v>20251230</v>
      </c>
      <c r="J38" t="inlineStr">
        <is>
          <t>2025-12-30</t>
        </is>
      </c>
      <c r="K38" s="9" t="n">
        <v>4012.44</v>
      </c>
      <c r="L38" t="inlineStr">
        <is>
          <t>USD</t>
        </is>
      </c>
      <c r="M38" s="4" t="n">
        <v>4012.44</v>
      </c>
      <c r="N38" t="inlineStr">
        <is>
          <t>Paid</t>
        </is>
      </c>
      <c r="O38" t="inlineStr">
        <is>
          <t>False</t>
        </is>
      </c>
      <c r="P38" t="n">
        <v>45</v>
      </c>
      <c r="Q38">
        <f>VLOOKUP(D38,GL_Accounts!$A$2:$E$1048576,5,FALSE)</f>
        <v/>
      </c>
      <c r="R38">
        <f>VLOOKUP(D38,GL_Accounts!$A$2:$E$1048576,4,FALSE)</f>
        <v/>
      </c>
    </row>
    <row r="39">
      <c r="A39" t="inlineStr">
        <is>
          <t>INV200038</t>
        </is>
      </c>
      <c r="B39" t="n">
        <v>38</v>
      </c>
      <c r="C39" t="inlineStr">
        <is>
          <t>V0038</t>
        </is>
      </c>
      <c r="D39" t="n">
        <v>6</v>
      </c>
      <c r="E39" t="n">
        <v>61100</v>
      </c>
      <c r="F39" t="inlineStr">
        <is>
          <t>PO100031</t>
        </is>
      </c>
      <c r="G39" t="n">
        <v>20251214</v>
      </c>
      <c r="H39" t="inlineStr">
        <is>
          <t>2025-12-14</t>
        </is>
      </c>
      <c r="I39" t="n">
        <v>20260128</v>
      </c>
      <c r="J39" t="inlineStr">
        <is>
          <t>2026-01-28</t>
        </is>
      </c>
      <c r="K39" s="9" t="n">
        <v>5029.48</v>
      </c>
      <c r="L39" t="inlineStr">
        <is>
          <t>USD</t>
        </is>
      </c>
      <c r="M39" s="4" t="n">
        <v>5029.48</v>
      </c>
      <c r="N39" t="inlineStr">
        <is>
          <t>Paid</t>
        </is>
      </c>
      <c r="O39" t="inlineStr">
        <is>
          <t>False</t>
        </is>
      </c>
      <c r="P39" t="n">
        <v>45</v>
      </c>
      <c r="Q39">
        <f>VLOOKUP(D39,GL_Accounts!$A$2:$E$1048576,5,FALSE)</f>
        <v/>
      </c>
      <c r="R39">
        <f>VLOOKUP(D39,GL_Accounts!$A$2:$E$1048576,4,FALSE)</f>
        <v/>
      </c>
    </row>
    <row r="40">
      <c r="A40" t="inlineStr">
        <is>
          <t>INV200039</t>
        </is>
      </c>
      <c r="B40" t="n">
        <v>38</v>
      </c>
      <c r="C40" t="inlineStr">
        <is>
          <t>V0038</t>
        </is>
      </c>
      <c r="D40" t="n">
        <v>6</v>
      </c>
      <c r="E40" t="n">
        <v>61100</v>
      </c>
      <c r="F40" t="inlineStr">
        <is>
          <t>PO100031</t>
        </is>
      </c>
      <c r="G40" t="n">
        <v>20260129</v>
      </c>
      <c r="H40" t="inlineStr">
        <is>
          <t>2026-01-29</t>
        </is>
      </c>
      <c r="I40" t="n">
        <v>20260315</v>
      </c>
      <c r="J40" t="inlineStr">
        <is>
          <t>2026-03-15</t>
        </is>
      </c>
      <c r="K40" s="9" t="n">
        <v>7873.99</v>
      </c>
      <c r="L40" t="inlineStr">
        <is>
          <t>USD</t>
        </is>
      </c>
      <c r="M40" s="4" t="n">
        <v>7873.99</v>
      </c>
      <c r="N40" t="inlineStr">
        <is>
          <t>Paid</t>
        </is>
      </c>
      <c r="O40" t="inlineStr">
        <is>
          <t>False</t>
        </is>
      </c>
      <c r="P40" t="n">
        <v>45</v>
      </c>
      <c r="Q40">
        <f>VLOOKUP(D40,GL_Accounts!$A$2:$E$1048576,5,FALSE)</f>
        <v/>
      </c>
      <c r="R40">
        <f>VLOOKUP(D40,GL_Accounts!$A$2:$E$1048576,4,FALSE)</f>
        <v/>
      </c>
    </row>
    <row r="41">
      <c r="A41" t="inlineStr">
        <is>
          <t>INV200040</t>
        </is>
      </c>
      <c r="B41" t="n">
        <v>42</v>
      </c>
      <c r="C41" t="inlineStr">
        <is>
          <t>V0042</t>
        </is>
      </c>
      <c r="D41" t="n">
        <v>17</v>
      </c>
      <c r="E41" t="n">
        <v>64100</v>
      </c>
      <c r="F41" t="inlineStr">
        <is>
          <t>PO100032</t>
        </is>
      </c>
      <c r="G41" t="n">
        <v>20260209</v>
      </c>
      <c r="H41" t="inlineStr">
        <is>
          <t>2026-02-09</t>
        </is>
      </c>
      <c r="I41" t="n">
        <v>20260326</v>
      </c>
      <c r="J41" t="inlineStr">
        <is>
          <t>2026-03-26</t>
        </is>
      </c>
      <c r="K41" s="9" t="n">
        <v>26434.54</v>
      </c>
      <c r="L41" t="inlineStr">
        <is>
          <t>USD</t>
        </is>
      </c>
      <c r="M41" s="4" t="n">
        <v>26434.54</v>
      </c>
      <c r="N41" t="inlineStr">
        <is>
          <t>Paid</t>
        </is>
      </c>
      <c r="O41" t="inlineStr">
        <is>
          <t>False</t>
        </is>
      </c>
      <c r="P41" t="n">
        <v>45</v>
      </c>
      <c r="Q41">
        <f>VLOOKUP(D41,GL_Accounts!$A$2:$E$1048576,5,FALSE)</f>
        <v/>
      </c>
      <c r="R41">
        <f>VLOOKUP(D41,GL_Accounts!$A$2:$E$1048576,4,FALSE)</f>
        <v/>
      </c>
    </row>
    <row r="42">
      <c r="A42" t="inlineStr">
        <is>
          <t>INV200041</t>
        </is>
      </c>
      <c r="B42" t="n">
        <v>42</v>
      </c>
      <c r="C42" t="inlineStr">
        <is>
          <t>V0042</t>
        </is>
      </c>
      <c r="D42" t="n">
        <v>16</v>
      </c>
      <c r="E42" t="n">
        <v>63300</v>
      </c>
      <c r="F42" t="inlineStr">
        <is>
          <t>PO100033</t>
        </is>
      </c>
      <c r="G42" t="n">
        <v>20260501</v>
      </c>
      <c r="H42" t="inlineStr">
        <is>
          <t>2026-05-01</t>
        </is>
      </c>
      <c r="I42" t="n">
        <v>20260615</v>
      </c>
      <c r="J42" t="inlineStr">
        <is>
          <t>2026-06-15</t>
        </is>
      </c>
      <c r="K42" s="9" t="n">
        <v>82700.03</v>
      </c>
      <c r="L42" t="inlineStr">
        <is>
          <t>USD</t>
        </is>
      </c>
      <c r="M42" s="4" t="n">
        <v>82700.03</v>
      </c>
      <c r="N42" t="inlineStr">
        <is>
          <t>Paid</t>
        </is>
      </c>
      <c r="O42" t="inlineStr">
        <is>
          <t>False</t>
        </is>
      </c>
      <c r="P42" t="n">
        <v>45</v>
      </c>
      <c r="Q42">
        <f>VLOOKUP(D42,GL_Accounts!$A$2:$E$1048576,5,FALSE)</f>
        <v/>
      </c>
      <c r="R42">
        <f>VLOOKUP(D42,GL_Accounts!$A$2:$E$1048576,4,FALSE)</f>
        <v/>
      </c>
    </row>
    <row r="43">
      <c r="A43" t="inlineStr">
        <is>
          <t>INV200042</t>
        </is>
      </c>
      <c r="B43" t="n">
        <v>8</v>
      </c>
      <c r="C43" t="inlineStr">
        <is>
          <t>V0008</t>
        </is>
      </c>
      <c r="D43" t="n">
        <v>14</v>
      </c>
      <c r="E43" t="n">
        <v>63100</v>
      </c>
      <c r="F43" t="inlineStr">
        <is>
          <t>PO100034</t>
        </is>
      </c>
      <c r="G43" t="n">
        <v>20250913</v>
      </c>
      <c r="H43" t="inlineStr">
        <is>
          <t>2025-09-13</t>
        </is>
      </c>
      <c r="I43" t="n">
        <v>20251028</v>
      </c>
      <c r="J43" t="inlineStr">
        <is>
          <t>2025-10-28</t>
        </is>
      </c>
      <c r="K43" s="9" t="n">
        <v>377.27</v>
      </c>
      <c r="L43" t="inlineStr">
        <is>
          <t>EUR</t>
        </is>
      </c>
      <c r="M43" s="4" t="n">
        <v>407.45</v>
      </c>
      <c r="N43" t="inlineStr">
        <is>
          <t>Paid</t>
        </is>
      </c>
      <c r="O43" t="inlineStr">
        <is>
          <t>False</t>
        </is>
      </c>
      <c r="P43" t="n">
        <v>45</v>
      </c>
      <c r="Q43">
        <f>VLOOKUP(D43,GL_Accounts!$A$2:$E$1048576,5,FALSE)</f>
        <v/>
      </c>
      <c r="R43">
        <f>VLOOKUP(D43,GL_Accounts!$A$2:$E$1048576,4,FALSE)</f>
        <v/>
      </c>
    </row>
    <row r="44">
      <c r="A44" t="inlineStr">
        <is>
          <t>INV200043</t>
        </is>
      </c>
      <c r="B44" t="n">
        <v>32</v>
      </c>
      <c r="C44" t="inlineStr">
        <is>
          <t>V0032</t>
        </is>
      </c>
      <c r="D44" t="n">
        <v>8</v>
      </c>
      <c r="E44" t="n">
        <v>61300</v>
      </c>
      <c r="F44" t="inlineStr">
        <is>
          <t>PO100035</t>
        </is>
      </c>
      <c r="G44" t="n">
        <v>20250829</v>
      </c>
      <c r="H44" t="inlineStr">
        <is>
          <t>2025-08-29</t>
        </is>
      </c>
      <c r="I44" t="n">
        <v>20251013</v>
      </c>
      <c r="J44" t="inlineStr">
        <is>
          <t>2025-10-13</t>
        </is>
      </c>
      <c r="K44" s="9" t="n">
        <v>2654.63</v>
      </c>
      <c r="L44" t="inlineStr">
        <is>
          <t>USD</t>
        </is>
      </c>
      <c r="M44" s="4" t="n">
        <v>2654.63</v>
      </c>
      <c r="N44" t="inlineStr">
        <is>
          <t>Paid</t>
        </is>
      </c>
      <c r="O44" t="inlineStr">
        <is>
          <t>False</t>
        </is>
      </c>
      <c r="P44" t="n">
        <v>45</v>
      </c>
      <c r="Q44">
        <f>VLOOKUP(D44,GL_Accounts!$A$2:$E$1048576,5,FALSE)</f>
        <v/>
      </c>
      <c r="R44">
        <f>VLOOKUP(D44,GL_Accounts!$A$2:$E$1048576,4,FALSE)</f>
        <v/>
      </c>
    </row>
    <row r="45">
      <c r="A45" t="inlineStr">
        <is>
          <t>INV200044</t>
        </is>
      </c>
      <c r="B45" t="n">
        <v>35</v>
      </c>
      <c r="C45" t="inlineStr">
        <is>
          <t>V0035</t>
        </is>
      </c>
      <c r="D45" t="n">
        <v>6</v>
      </c>
      <c r="E45" t="n">
        <v>61100</v>
      </c>
      <c r="F45" t="inlineStr">
        <is>
          <t>PO100036</t>
        </is>
      </c>
      <c r="G45" t="n">
        <v>20250723</v>
      </c>
      <c r="H45" t="inlineStr">
        <is>
          <t>2025-07-23</t>
        </is>
      </c>
      <c r="I45" t="n">
        <v>20250822</v>
      </c>
      <c r="J45" t="inlineStr">
        <is>
          <t>2025-08-22</t>
        </is>
      </c>
      <c r="K45" s="9" t="n">
        <v>3155.94</v>
      </c>
      <c r="L45" t="inlineStr">
        <is>
          <t>GBP</t>
        </is>
      </c>
      <c r="M45" s="4" t="n">
        <v>4008.04</v>
      </c>
      <c r="N45" t="inlineStr">
        <is>
          <t>Paid</t>
        </is>
      </c>
      <c r="O45" t="inlineStr">
        <is>
          <t>False</t>
        </is>
      </c>
      <c r="P45" t="n">
        <v>30</v>
      </c>
      <c r="Q45">
        <f>VLOOKUP(D45,GL_Accounts!$A$2:$E$1048576,5,FALSE)</f>
        <v/>
      </c>
      <c r="R45">
        <f>VLOOKUP(D45,GL_Accounts!$A$2:$E$1048576,4,FALSE)</f>
        <v/>
      </c>
    </row>
    <row r="46">
      <c r="A46" t="inlineStr">
        <is>
          <t>INV200045</t>
        </is>
      </c>
      <c r="B46" t="n">
        <v>35</v>
      </c>
      <c r="C46" t="inlineStr">
        <is>
          <t>V0035</t>
        </is>
      </c>
      <c r="D46" t="n">
        <v>9</v>
      </c>
      <c r="E46" t="n">
        <v>61400</v>
      </c>
      <c r="F46" t="inlineStr">
        <is>
          <t>PO100036</t>
        </is>
      </c>
      <c r="G46" t="n">
        <v>20250812</v>
      </c>
      <c r="H46" t="inlineStr">
        <is>
          <t>2025-08-12</t>
        </is>
      </c>
      <c r="I46" t="n">
        <v>20250911</v>
      </c>
      <c r="J46" t="inlineStr">
        <is>
          <t>2025-09-11</t>
        </is>
      </c>
      <c r="K46" s="9" t="n">
        <v>4971.67</v>
      </c>
      <c r="L46" t="inlineStr">
        <is>
          <t>GBP</t>
        </is>
      </c>
      <c r="M46" s="4" t="n">
        <v>6314.02</v>
      </c>
      <c r="N46" t="inlineStr">
        <is>
          <t>Paid</t>
        </is>
      </c>
      <c r="O46" t="inlineStr">
        <is>
          <t>False</t>
        </is>
      </c>
      <c r="P46" t="n">
        <v>30</v>
      </c>
      <c r="Q46">
        <f>VLOOKUP(D46,GL_Accounts!$A$2:$E$1048576,5,FALSE)</f>
        <v/>
      </c>
      <c r="R46">
        <f>VLOOKUP(D46,GL_Accounts!$A$2:$E$1048576,4,FALSE)</f>
        <v/>
      </c>
    </row>
    <row r="47">
      <c r="A47" t="inlineStr">
        <is>
          <t>INV200046</t>
        </is>
      </c>
      <c r="B47" t="n">
        <v>30</v>
      </c>
      <c r="C47" t="inlineStr">
        <is>
          <t>V0030</t>
        </is>
      </c>
      <c r="D47" t="n">
        <v>19</v>
      </c>
      <c r="E47" t="n">
        <v>64300</v>
      </c>
      <c r="F47" t="inlineStr">
        <is>
          <t>PO100037</t>
        </is>
      </c>
      <c r="G47" t="n">
        <v>20241216</v>
      </c>
      <c r="H47" t="inlineStr">
        <is>
          <t>2024-12-16</t>
        </is>
      </c>
      <c r="I47" t="n">
        <v>20250115</v>
      </c>
      <c r="J47" t="inlineStr">
        <is>
          <t>2025-01-15</t>
        </is>
      </c>
      <c r="K47" s="9" t="n">
        <v>1946.23</v>
      </c>
      <c r="L47" t="inlineStr">
        <is>
          <t>USD</t>
        </is>
      </c>
      <c r="M47" s="4" t="n">
        <v>1946.23</v>
      </c>
      <c r="N47" t="inlineStr">
        <is>
          <t>Paid</t>
        </is>
      </c>
      <c r="O47" t="inlineStr">
        <is>
          <t>False</t>
        </is>
      </c>
      <c r="P47" t="n">
        <v>30</v>
      </c>
      <c r="Q47">
        <f>VLOOKUP(D47,GL_Accounts!$A$2:$E$1048576,5,FALSE)</f>
        <v/>
      </c>
      <c r="R47">
        <f>VLOOKUP(D47,GL_Accounts!$A$2:$E$1048576,4,FALSE)</f>
        <v/>
      </c>
    </row>
    <row r="48">
      <c r="A48" t="inlineStr">
        <is>
          <t>INV200047</t>
        </is>
      </c>
      <c r="B48" t="n">
        <v>30</v>
      </c>
      <c r="C48" t="inlineStr">
        <is>
          <t>V0030</t>
        </is>
      </c>
      <c r="D48" t="n">
        <v>8</v>
      </c>
      <c r="E48" t="n">
        <v>61300</v>
      </c>
      <c r="F48" t="inlineStr">
        <is>
          <t>PO100037</t>
        </is>
      </c>
      <c r="G48" t="n">
        <v>20250104</v>
      </c>
      <c r="H48" t="inlineStr">
        <is>
          <t>2025-01-04</t>
        </is>
      </c>
      <c r="I48" t="n">
        <v>20250203</v>
      </c>
      <c r="J48" t="inlineStr">
        <is>
          <t>2025-02-03</t>
        </is>
      </c>
      <c r="K48" s="9" t="n">
        <v>63.72</v>
      </c>
      <c r="L48" t="inlineStr">
        <is>
          <t>USD</t>
        </is>
      </c>
      <c r="M48" s="4" t="n">
        <v>63.72</v>
      </c>
      <c r="N48" t="inlineStr">
        <is>
          <t>Paid</t>
        </is>
      </c>
      <c r="O48" t="inlineStr">
        <is>
          <t>False</t>
        </is>
      </c>
      <c r="P48" t="n">
        <v>30</v>
      </c>
      <c r="Q48">
        <f>VLOOKUP(D48,GL_Accounts!$A$2:$E$1048576,5,FALSE)</f>
        <v/>
      </c>
      <c r="R48">
        <f>VLOOKUP(D48,GL_Accounts!$A$2:$E$1048576,4,FALSE)</f>
        <v/>
      </c>
    </row>
    <row r="49">
      <c r="A49" t="inlineStr">
        <is>
          <t>INV200048</t>
        </is>
      </c>
      <c r="B49" t="n">
        <v>30</v>
      </c>
      <c r="C49" t="inlineStr">
        <is>
          <t>V0030</t>
        </is>
      </c>
      <c r="D49" t="n">
        <v>18</v>
      </c>
      <c r="E49" t="n">
        <v>64200</v>
      </c>
      <c r="F49" t="inlineStr">
        <is>
          <t>PO100037</t>
        </is>
      </c>
      <c r="G49" t="n">
        <v>20250215</v>
      </c>
      <c r="H49" t="inlineStr">
        <is>
          <t>2025-02-15</t>
        </is>
      </c>
      <c r="I49" t="n">
        <v>20250317</v>
      </c>
      <c r="J49" t="inlineStr">
        <is>
          <t>2025-03-17</t>
        </is>
      </c>
      <c r="K49" s="9" t="n">
        <v>5169.4</v>
      </c>
      <c r="L49" t="inlineStr">
        <is>
          <t>USD</t>
        </is>
      </c>
      <c r="M49" s="4" t="n">
        <v>5169.4</v>
      </c>
      <c r="N49" t="inlineStr">
        <is>
          <t>Paid</t>
        </is>
      </c>
      <c r="O49" t="inlineStr">
        <is>
          <t>False</t>
        </is>
      </c>
      <c r="P49" t="n">
        <v>30</v>
      </c>
      <c r="Q49">
        <f>VLOOKUP(D49,GL_Accounts!$A$2:$E$1048576,5,FALSE)</f>
        <v/>
      </c>
      <c r="R49">
        <f>VLOOKUP(D49,GL_Accounts!$A$2:$E$1048576,4,FALSE)</f>
        <v/>
      </c>
    </row>
    <row r="50">
      <c r="A50" t="inlineStr">
        <is>
          <t>INV200049</t>
        </is>
      </c>
      <c r="B50" t="n">
        <v>50</v>
      </c>
      <c r="C50" t="inlineStr">
        <is>
          <t>V0050</t>
        </is>
      </c>
      <c r="D50" t="n">
        <v>1</v>
      </c>
      <c r="E50" t="n">
        <v>60100</v>
      </c>
      <c r="F50" t="inlineStr">
        <is>
          <t>PO100038</t>
        </is>
      </c>
      <c r="G50" t="n">
        <v>20260422</v>
      </c>
      <c r="H50" t="inlineStr">
        <is>
          <t>2026-04-22</t>
        </is>
      </c>
      <c r="I50" t="n">
        <v>20260522</v>
      </c>
      <c r="J50" t="inlineStr">
        <is>
          <t>2026-05-22</t>
        </is>
      </c>
      <c r="K50" s="9" t="n">
        <v>106825.72</v>
      </c>
      <c r="L50" t="inlineStr">
        <is>
          <t>USD</t>
        </is>
      </c>
      <c r="M50" s="4" t="n">
        <v>106825.72</v>
      </c>
      <c r="N50" t="inlineStr">
        <is>
          <t>Paid</t>
        </is>
      </c>
      <c r="O50" t="inlineStr">
        <is>
          <t>False</t>
        </is>
      </c>
      <c r="P50" t="n">
        <v>30</v>
      </c>
      <c r="Q50">
        <f>VLOOKUP(D50,GL_Accounts!$A$2:$E$1048576,5,FALSE)</f>
        <v/>
      </c>
      <c r="R50">
        <f>VLOOKUP(D50,GL_Accounts!$A$2:$E$1048576,4,FALSE)</f>
        <v/>
      </c>
    </row>
    <row r="51">
      <c r="A51" t="inlineStr">
        <is>
          <t>INV200050</t>
        </is>
      </c>
      <c r="B51" t="n">
        <v>9</v>
      </c>
      <c r="C51" t="inlineStr">
        <is>
          <t>V0009</t>
        </is>
      </c>
      <c r="D51" t="n">
        <v>8</v>
      </c>
      <c r="E51" t="n">
        <v>61300</v>
      </c>
      <c r="F51" t="inlineStr">
        <is>
          <t>PO100039</t>
        </is>
      </c>
      <c r="G51" t="n">
        <v>20250806</v>
      </c>
      <c r="H51" t="inlineStr">
        <is>
          <t>2025-08-06</t>
        </is>
      </c>
      <c r="I51" t="n">
        <v>20250821</v>
      </c>
      <c r="J51" t="inlineStr">
        <is>
          <t>2025-08-21</t>
        </is>
      </c>
      <c r="K51" s="9" t="n">
        <v>24261.5</v>
      </c>
      <c r="L51" t="inlineStr">
        <is>
          <t>USD</t>
        </is>
      </c>
      <c r="M51" s="4" t="n">
        <v>24261.5</v>
      </c>
      <c r="N51" t="inlineStr">
        <is>
          <t>Paid</t>
        </is>
      </c>
      <c r="O51" t="inlineStr">
        <is>
          <t>False</t>
        </is>
      </c>
      <c r="P51" t="n">
        <v>15</v>
      </c>
      <c r="Q51">
        <f>VLOOKUP(D51,GL_Accounts!$A$2:$E$1048576,5,FALSE)</f>
        <v/>
      </c>
      <c r="R51">
        <f>VLOOKUP(D51,GL_Accounts!$A$2:$E$1048576,4,FALSE)</f>
        <v/>
      </c>
    </row>
    <row r="52">
      <c r="A52" t="inlineStr">
        <is>
          <t>INV200051</t>
        </is>
      </c>
      <c r="B52" t="n">
        <v>40</v>
      </c>
      <c r="C52" t="inlineStr">
        <is>
          <t>V0040</t>
        </is>
      </c>
      <c r="D52" t="n">
        <v>10</v>
      </c>
      <c r="E52" t="n">
        <v>62100</v>
      </c>
      <c r="F52" t="inlineStr">
        <is>
          <t>PO100042</t>
        </is>
      </c>
      <c r="G52" t="n">
        <v>20260112</v>
      </c>
      <c r="H52" t="inlineStr">
        <is>
          <t>2026-01-12</t>
        </is>
      </c>
      <c r="I52" t="n">
        <v>20260211</v>
      </c>
      <c r="J52" t="inlineStr">
        <is>
          <t>2026-02-11</t>
        </is>
      </c>
      <c r="K52" s="9" t="n">
        <v>2573.29</v>
      </c>
      <c r="L52" t="inlineStr">
        <is>
          <t>USD</t>
        </is>
      </c>
      <c r="M52" s="4" t="n">
        <v>2573.29</v>
      </c>
      <c r="N52" t="inlineStr">
        <is>
          <t>Paid</t>
        </is>
      </c>
      <c r="O52" t="inlineStr">
        <is>
          <t>False</t>
        </is>
      </c>
      <c r="P52" t="n">
        <v>30</v>
      </c>
      <c r="Q52">
        <f>VLOOKUP(D52,GL_Accounts!$A$2:$E$1048576,5,FALSE)</f>
        <v/>
      </c>
      <c r="R52">
        <f>VLOOKUP(D52,GL_Accounts!$A$2:$E$1048576,4,FALSE)</f>
        <v/>
      </c>
    </row>
    <row r="53">
      <c r="A53" t="inlineStr">
        <is>
          <t>INV200052</t>
        </is>
      </c>
      <c r="B53" t="n">
        <v>48</v>
      </c>
      <c r="C53" t="inlineStr">
        <is>
          <t>V0048</t>
        </is>
      </c>
      <c r="D53" t="n">
        <v>3</v>
      </c>
      <c r="E53" t="n">
        <v>60120</v>
      </c>
      <c r="F53" t="inlineStr">
        <is>
          <t>PO100044</t>
        </is>
      </c>
      <c r="G53" t="n">
        <v>20260524</v>
      </c>
      <c r="H53" t="inlineStr">
        <is>
          <t>2026-05-24</t>
        </is>
      </c>
      <c r="I53" t="n">
        <v>20260708</v>
      </c>
      <c r="J53" t="inlineStr">
        <is>
          <t>2026-07-08</t>
        </is>
      </c>
      <c r="K53" s="9" t="n">
        <v>7039.76</v>
      </c>
      <c r="L53" t="inlineStr">
        <is>
          <t>USD</t>
        </is>
      </c>
      <c r="M53" s="4" t="n">
        <v>7039.76</v>
      </c>
      <c r="N53" t="inlineStr">
        <is>
          <t>Paid</t>
        </is>
      </c>
      <c r="O53" t="inlineStr">
        <is>
          <t>False</t>
        </is>
      </c>
      <c r="P53" t="n">
        <v>45</v>
      </c>
      <c r="Q53">
        <f>VLOOKUP(D53,GL_Accounts!$A$2:$E$1048576,5,FALSE)</f>
        <v/>
      </c>
      <c r="R53">
        <f>VLOOKUP(D53,GL_Accounts!$A$2:$E$1048576,4,FALSE)</f>
        <v/>
      </c>
    </row>
    <row r="54">
      <c r="A54" t="inlineStr">
        <is>
          <t>INV200053</t>
        </is>
      </c>
      <c r="B54" t="n">
        <v>40</v>
      </c>
      <c r="C54" t="inlineStr">
        <is>
          <t>V0040</t>
        </is>
      </c>
      <c r="D54" t="n">
        <v>13</v>
      </c>
      <c r="E54" t="n">
        <v>62400</v>
      </c>
      <c r="F54" t="inlineStr">
        <is>
          <t>PO100045</t>
        </is>
      </c>
      <c r="G54" t="n">
        <v>20260223</v>
      </c>
      <c r="H54" t="inlineStr">
        <is>
          <t>2026-02-23</t>
        </is>
      </c>
      <c r="I54" t="n">
        <v>20260325</v>
      </c>
      <c r="J54" t="inlineStr">
        <is>
          <t>2026-03-25</t>
        </is>
      </c>
      <c r="K54" s="9" t="n">
        <v>1415.49</v>
      </c>
      <c r="L54" t="inlineStr">
        <is>
          <t>USD</t>
        </is>
      </c>
      <c r="M54" s="4" t="n">
        <v>1415.49</v>
      </c>
      <c r="N54" t="inlineStr">
        <is>
          <t>Paid</t>
        </is>
      </c>
      <c r="O54" t="inlineStr">
        <is>
          <t>False</t>
        </is>
      </c>
      <c r="P54" t="n">
        <v>30</v>
      </c>
      <c r="Q54">
        <f>VLOOKUP(D54,GL_Accounts!$A$2:$E$1048576,5,FALSE)</f>
        <v/>
      </c>
      <c r="R54">
        <f>VLOOKUP(D54,GL_Accounts!$A$2:$E$1048576,4,FALSE)</f>
        <v/>
      </c>
    </row>
    <row r="55">
      <c r="A55" t="inlineStr">
        <is>
          <t>INV200054</t>
        </is>
      </c>
      <c r="B55" t="n">
        <v>17</v>
      </c>
      <c r="C55" t="inlineStr">
        <is>
          <t>V0017</t>
        </is>
      </c>
      <c r="D55" t="n">
        <v>7</v>
      </c>
      <c r="E55" t="n">
        <v>61200</v>
      </c>
      <c r="F55" t="inlineStr">
        <is>
          <t>PO100046</t>
        </is>
      </c>
      <c r="G55" t="n">
        <v>20250621</v>
      </c>
      <c r="H55" t="inlineStr">
        <is>
          <t>2025-06-21</t>
        </is>
      </c>
      <c r="I55" t="n">
        <v>20250805</v>
      </c>
      <c r="J55" t="inlineStr">
        <is>
          <t>2025-08-05</t>
        </is>
      </c>
      <c r="K55" s="9" t="n">
        <v>10391.67</v>
      </c>
      <c r="L55" t="inlineStr">
        <is>
          <t>USD</t>
        </is>
      </c>
      <c r="M55" s="4" t="n">
        <v>10391.67</v>
      </c>
      <c r="N55" t="inlineStr">
        <is>
          <t>Paid</t>
        </is>
      </c>
      <c r="O55" t="inlineStr">
        <is>
          <t>False</t>
        </is>
      </c>
      <c r="P55" t="n">
        <v>45</v>
      </c>
      <c r="Q55">
        <f>VLOOKUP(D55,GL_Accounts!$A$2:$E$1048576,5,FALSE)</f>
        <v/>
      </c>
      <c r="R55">
        <f>VLOOKUP(D55,GL_Accounts!$A$2:$E$1048576,4,FALSE)</f>
        <v/>
      </c>
    </row>
    <row r="56">
      <c r="A56" t="inlineStr">
        <is>
          <t>INV200055</t>
        </is>
      </c>
      <c r="B56" t="n">
        <v>32</v>
      </c>
      <c r="C56" t="inlineStr">
        <is>
          <t>V0032</t>
        </is>
      </c>
      <c r="D56" t="n">
        <v>8</v>
      </c>
      <c r="E56" t="n">
        <v>61300</v>
      </c>
      <c r="F56" t="inlineStr">
        <is>
          <t>PO100049</t>
        </is>
      </c>
      <c r="G56" t="n">
        <v>20250424</v>
      </c>
      <c r="H56" t="inlineStr">
        <is>
          <t>2025-04-24</t>
        </is>
      </c>
      <c r="I56" t="n">
        <v>20250608</v>
      </c>
      <c r="J56" t="inlineStr">
        <is>
          <t>2025-06-08</t>
        </is>
      </c>
      <c r="K56" s="9" t="n">
        <v>17260</v>
      </c>
      <c r="L56" t="inlineStr">
        <is>
          <t>USD</t>
        </is>
      </c>
      <c r="M56" s="4" t="n">
        <v>17260</v>
      </c>
      <c r="N56" t="inlineStr">
        <is>
          <t>Paid</t>
        </is>
      </c>
      <c r="O56" t="inlineStr">
        <is>
          <t>False</t>
        </is>
      </c>
      <c r="P56" t="n">
        <v>45</v>
      </c>
      <c r="Q56">
        <f>VLOOKUP(D56,GL_Accounts!$A$2:$E$1048576,5,FALSE)</f>
        <v/>
      </c>
      <c r="R56">
        <f>VLOOKUP(D56,GL_Accounts!$A$2:$E$1048576,4,FALSE)</f>
        <v/>
      </c>
    </row>
    <row r="57">
      <c r="A57" t="inlineStr">
        <is>
          <t>INV200056</t>
        </is>
      </c>
      <c r="B57" t="n">
        <v>59</v>
      </c>
      <c r="C57" t="inlineStr">
        <is>
          <t>V0024</t>
        </is>
      </c>
      <c r="D57" t="n">
        <v>16</v>
      </c>
      <c r="E57" t="n">
        <v>63300</v>
      </c>
      <c r="F57" t="inlineStr">
        <is>
          <t>PO100050</t>
        </is>
      </c>
      <c r="G57" t="n">
        <v>20260330</v>
      </c>
      <c r="H57" t="inlineStr">
        <is>
          <t>2026-03-30</t>
        </is>
      </c>
      <c r="I57" t="n">
        <v>20260514</v>
      </c>
      <c r="J57" t="inlineStr">
        <is>
          <t>2026-05-14</t>
        </is>
      </c>
      <c r="K57" s="9" t="n">
        <v>11695.72</v>
      </c>
      <c r="L57" t="inlineStr">
        <is>
          <t>USD</t>
        </is>
      </c>
      <c r="M57" s="4" t="n">
        <v>11695.72</v>
      </c>
      <c r="N57" t="inlineStr">
        <is>
          <t>Paid</t>
        </is>
      </c>
      <c r="O57" t="inlineStr">
        <is>
          <t>False</t>
        </is>
      </c>
      <c r="P57" t="n">
        <v>45</v>
      </c>
      <c r="Q57">
        <f>VLOOKUP(D57,GL_Accounts!$A$2:$E$1048576,5,FALSE)</f>
        <v/>
      </c>
      <c r="R57">
        <f>VLOOKUP(D57,GL_Accounts!$A$2:$E$1048576,4,FALSE)</f>
        <v/>
      </c>
    </row>
    <row r="58">
      <c r="A58" t="inlineStr">
        <is>
          <t>INV200057</t>
        </is>
      </c>
      <c r="B58" t="n">
        <v>14</v>
      </c>
      <c r="C58" t="inlineStr">
        <is>
          <t>V0014</t>
        </is>
      </c>
      <c r="D58" t="n">
        <v>10</v>
      </c>
      <c r="E58" t="n">
        <v>62100</v>
      </c>
      <c r="F58" t="inlineStr">
        <is>
          <t>PO100051</t>
        </is>
      </c>
      <c r="G58" t="n">
        <v>20260508</v>
      </c>
      <c r="H58" t="inlineStr">
        <is>
          <t>2026-05-08</t>
        </is>
      </c>
      <c r="I58" t="n">
        <v>20260707</v>
      </c>
      <c r="J58" t="inlineStr">
        <is>
          <t>2026-07-07</t>
        </is>
      </c>
      <c r="K58" s="9" t="n">
        <v>5729.28</v>
      </c>
      <c r="L58" t="inlineStr">
        <is>
          <t>USD</t>
        </is>
      </c>
      <c r="M58" s="4" t="n">
        <v>5729.28</v>
      </c>
      <c r="N58" t="inlineStr">
        <is>
          <t>Unpaid</t>
        </is>
      </c>
      <c r="O58" t="inlineStr">
        <is>
          <t>False</t>
        </is>
      </c>
      <c r="P58" t="n">
        <v>60</v>
      </c>
      <c r="Q58">
        <f>VLOOKUP(D58,GL_Accounts!$A$2:$E$1048576,5,FALSE)</f>
        <v/>
      </c>
      <c r="R58">
        <f>VLOOKUP(D58,GL_Accounts!$A$2:$E$1048576,4,FALSE)</f>
        <v/>
      </c>
    </row>
    <row r="59">
      <c r="A59" t="inlineStr">
        <is>
          <t>INV200058</t>
        </is>
      </c>
      <c r="B59" t="n">
        <v>40</v>
      </c>
      <c r="C59" t="inlineStr">
        <is>
          <t>V0040</t>
        </is>
      </c>
      <c r="D59" t="n">
        <v>11</v>
      </c>
      <c r="E59" t="n">
        <v>62200</v>
      </c>
      <c r="F59" t="inlineStr">
        <is>
          <t>PO100052</t>
        </is>
      </c>
      <c r="G59" t="n">
        <v>20250124</v>
      </c>
      <c r="H59" t="inlineStr">
        <is>
          <t>2025-01-24</t>
        </is>
      </c>
      <c r="I59" t="n">
        <v>20250223</v>
      </c>
      <c r="J59" t="inlineStr">
        <is>
          <t>2025-02-23</t>
        </is>
      </c>
      <c r="K59" s="9" t="n">
        <v>555.49</v>
      </c>
      <c r="L59" t="inlineStr">
        <is>
          <t>USD</t>
        </is>
      </c>
      <c r="M59" s="4" t="n">
        <v>555.49</v>
      </c>
      <c r="N59" t="inlineStr">
        <is>
          <t>Paid</t>
        </is>
      </c>
      <c r="O59" t="inlineStr">
        <is>
          <t>False</t>
        </is>
      </c>
      <c r="P59" t="n">
        <v>30</v>
      </c>
      <c r="Q59">
        <f>VLOOKUP(D59,GL_Accounts!$A$2:$E$1048576,5,FALSE)</f>
        <v/>
      </c>
      <c r="R59">
        <f>VLOOKUP(D59,GL_Accounts!$A$2:$E$1048576,4,FALSE)</f>
        <v/>
      </c>
    </row>
    <row r="60">
      <c r="A60" t="inlineStr">
        <is>
          <t>INV200059</t>
        </is>
      </c>
      <c r="B60" t="n">
        <v>61</v>
      </c>
      <c r="C60" t="inlineStr">
        <is>
          <t>V0008</t>
        </is>
      </c>
      <c r="D60" t="n">
        <v>20</v>
      </c>
      <c r="E60" t="n">
        <v>65100</v>
      </c>
      <c r="F60" t="inlineStr">
        <is>
          <t>PO100053</t>
        </is>
      </c>
      <c r="G60" t="n">
        <v>20251229</v>
      </c>
      <c r="H60" t="inlineStr">
        <is>
          <t>2025-12-29</t>
        </is>
      </c>
      <c r="I60" t="n">
        <v>20260113</v>
      </c>
      <c r="J60" t="inlineStr">
        <is>
          <t>2026-01-13</t>
        </is>
      </c>
      <c r="K60" s="9" t="n">
        <v>415.45</v>
      </c>
      <c r="L60" t="inlineStr">
        <is>
          <t>EUR</t>
        </is>
      </c>
      <c r="M60" s="4" t="n">
        <v>448.69</v>
      </c>
      <c r="N60" t="inlineStr">
        <is>
          <t>Paid</t>
        </is>
      </c>
      <c r="O60" t="inlineStr">
        <is>
          <t>False</t>
        </is>
      </c>
      <c r="P60" t="n">
        <v>15</v>
      </c>
      <c r="Q60">
        <f>VLOOKUP(D60,GL_Accounts!$A$2:$E$1048576,5,FALSE)</f>
        <v/>
      </c>
      <c r="R60">
        <f>VLOOKUP(D60,GL_Accounts!$A$2:$E$1048576,4,FALSE)</f>
        <v/>
      </c>
    </row>
    <row r="61">
      <c r="A61" t="inlineStr">
        <is>
          <t>INV200060</t>
        </is>
      </c>
      <c r="B61" t="n">
        <v>61</v>
      </c>
      <c r="C61" t="inlineStr">
        <is>
          <t>V0008</t>
        </is>
      </c>
      <c r="D61" t="n">
        <v>15</v>
      </c>
      <c r="E61" t="n">
        <v>63200</v>
      </c>
      <c r="F61" t="inlineStr">
        <is>
          <t>PO100054</t>
        </is>
      </c>
      <c r="G61" t="n">
        <v>20251208</v>
      </c>
      <c r="H61" t="inlineStr">
        <is>
          <t>2025-12-08</t>
        </is>
      </c>
      <c r="I61" t="n">
        <v>20251223</v>
      </c>
      <c r="J61" t="inlineStr">
        <is>
          <t>2025-12-23</t>
        </is>
      </c>
      <c r="K61" s="9" t="n">
        <v>389.65</v>
      </c>
      <c r="L61" t="inlineStr">
        <is>
          <t>EUR</t>
        </is>
      </c>
      <c r="M61" s="4" t="n">
        <v>420.82</v>
      </c>
      <c r="N61" t="inlineStr">
        <is>
          <t>Paid</t>
        </is>
      </c>
      <c r="O61" t="inlineStr">
        <is>
          <t>False</t>
        </is>
      </c>
      <c r="P61" t="n">
        <v>15</v>
      </c>
      <c r="Q61">
        <f>VLOOKUP(D61,GL_Accounts!$A$2:$E$1048576,5,FALSE)</f>
        <v/>
      </c>
      <c r="R61">
        <f>VLOOKUP(D61,GL_Accounts!$A$2:$E$1048576,4,FALSE)</f>
        <v/>
      </c>
    </row>
    <row r="62">
      <c r="A62" t="inlineStr">
        <is>
          <t>INV200061</t>
        </is>
      </c>
      <c r="B62" t="n">
        <v>61</v>
      </c>
      <c r="C62" t="inlineStr">
        <is>
          <t>V0008</t>
        </is>
      </c>
      <c r="D62" t="n">
        <v>14</v>
      </c>
      <c r="E62" t="n">
        <v>63100</v>
      </c>
      <c r="F62" t="inlineStr">
        <is>
          <t>PO100054</t>
        </is>
      </c>
      <c r="G62" t="n">
        <v>20260109</v>
      </c>
      <c r="H62" t="inlineStr">
        <is>
          <t>2026-01-09</t>
        </is>
      </c>
      <c r="I62" t="n">
        <v>20260124</v>
      </c>
      <c r="J62" t="inlineStr">
        <is>
          <t>2026-01-24</t>
        </is>
      </c>
      <c r="K62" s="9" t="n">
        <v>165.86</v>
      </c>
      <c r="L62" t="inlineStr">
        <is>
          <t>EUR</t>
        </is>
      </c>
      <c r="M62" s="4" t="n">
        <v>179.13</v>
      </c>
      <c r="N62" t="inlineStr">
        <is>
          <t>Paid</t>
        </is>
      </c>
      <c r="O62" t="inlineStr">
        <is>
          <t>False</t>
        </is>
      </c>
      <c r="P62" t="n">
        <v>15</v>
      </c>
      <c r="Q62">
        <f>VLOOKUP(D62,GL_Accounts!$A$2:$E$1048576,5,FALSE)</f>
        <v/>
      </c>
      <c r="R62">
        <f>VLOOKUP(D62,GL_Accounts!$A$2:$E$1048576,4,FALSE)</f>
        <v/>
      </c>
    </row>
    <row r="63">
      <c r="A63" t="inlineStr">
        <is>
          <t>INV200062</t>
        </is>
      </c>
      <c r="B63" t="n">
        <v>43</v>
      </c>
      <c r="C63" t="inlineStr">
        <is>
          <t>V0043</t>
        </is>
      </c>
      <c r="D63" t="n">
        <v>6</v>
      </c>
      <c r="E63" t="n">
        <v>61100</v>
      </c>
      <c r="F63" t="inlineStr">
        <is>
          <t>PO100055</t>
        </is>
      </c>
      <c r="G63" t="n">
        <v>20241121</v>
      </c>
      <c r="H63" t="inlineStr">
        <is>
          <t>2024-11-21</t>
        </is>
      </c>
      <c r="I63" t="n">
        <v>20241221</v>
      </c>
      <c r="J63" t="inlineStr">
        <is>
          <t>2024-12-21</t>
        </is>
      </c>
      <c r="K63" s="9" t="n">
        <v>30610.88</v>
      </c>
      <c r="L63" t="inlineStr">
        <is>
          <t>USD</t>
        </is>
      </c>
      <c r="M63" s="4" t="n">
        <v>30610.88</v>
      </c>
      <c r="N63" t="inlineStr">
        <is>
          <t>Paid</t>
        </is>
      </c>
      <c r="O63" t="inlineStr">
        <is>
          <t>False</t>
        </is>
      </c>
      <c r="P63" t="n">
        <v>30</v>
      </c>
      <c r="Q63">
        <f>VLOOKUP(D63,GL_Accounts!$A$2:$E$1048576,5,FALSE)</f>
        <v/>
      </c>
      <c r="R63">
        <f>VLOOKUP(D63,GL_Accounts!$A$2:$E$1048576,4,FALSE)</f>
        <v/>
      </c>
    </row>
    <row r="64">
      <c r="A64" t="inlineStr">
        <is>
          <t>INV200063</t>
        </is>
      </c>
      <c r="B64" t="n">
        <v>42</v>
      </c>
      <c r="C64" t="inlineStr">
        <is>
          <t>V0042</t>
        </is>
      </c>
      <c r="D64" t="n">
        <v>8</v>
      </c>
      <c r="E64" t="n">
        <v>61300</v>
      </c>
      <c r="F64" t="inlineStr">
        <is>
          <t>PO100056</t>
        </is>
      </c>
      <c r="G64" t="n">
        <v>20241228</v>
      </c>
      <c r="H64" t="inlineStr">
        <is>
          <t>2024-12-28</t>
        </is>
      </c>
      <c r="I64" t="n">
        <v>20250211</v>
      </c>
      <c r="J64" t="inlineStr">
        <is>
          <t>2025-02-11</t>
        </is>
      </c>
      <c r="K64" s="9" t="n">
        <v>37873.03</v>
      </c>
      <c r="L64" t="inlineStr">
        <is>
          <t>USD</t>
        </is>
      </c>
      <c r="M64" s="4" t="n">
        <v>37873.03</v>
      </c>
      <c r="N64" t="inlineStr">
        <is>
          <t>Paid</t>
        </is>
      </c>
      <c r="O64" t="inlineStr">
        <is>
          <t>False</t>
        </is>
      </c>
      <c r="P64" t="n">
        <v>45</v>
      </c>
      <c r="Q64">
        <f>VLOOKUP(D64,GL_Accounts!$A$2:$E$1048576,5,FALSE)</f>
        <v/>
      </c>
      <c r="R64">
        <f>VLOOKUP(D64,GL_Accounts!$A$2:$E$1048576,4,FALSE)</f>
        <v/>
      </c>
    </row>
    <row r="65">
      <c r="A65" t="inlineStr">
        <is>
          <t>INV200064</t>
        </is>
      </c>
      <c r="B65" t="n">
        <v>9</v>
      </c>
      <c r="C65" t="inlineStr">
        <is>
          <t>V0009</t>
        </is>
      </c>
      <c r="D65" t="n">
        <v>8</v>
      </c>
      <c r="E65" t="n">
        <v>61300</v>
      </c>
      <c r="F65" t="inlineStr">
        <is>
          <t>PO100057</t>
        </is>
      </c>
      <c r="G65" t="n">
        <v>20251204</v>
      </c>
      <c r="H65" t="inlineStr">
        <is>
          <t>2025-12-04</t>
        </is>
      </c>
      <c r="I65" t="n">
        <v>20251219</v>
      </c>
      <c r="J65" t="inlineStr">
        <is>
          <t>2025-12-19</t>
        </is>
      </c>
      <c r="K65" s="9" t="n">
        <v>935.72</v>
      </c>
      <c r="L65" t="inlineStr">
        <is>
          <t>USD</t>
        </is>
      </c>
      <c r="M65" s="4" t="n">
        <v>935.72</v>
      </c>
      <c r="N65" t="inlineStr">
        <is>
          <t>Paid</t>
        </is>
      </c>
      <c r="O65" t="inlineStr">
        <is>
          <t>False</t>
        </is>
      </c>
      <c r="P65" t="n">
        <v>15</v>
      </c>
      <c r="Q65">
        <f>VLOOKUP(D65,GL_Accounts!$A$2:$E$1048576,5,FALSE)</f>
        <v/>
      </c>
      <c r="R65">
        <f>VLOOKUP(D65,GL_Accounts!$A$2:$E$1048576,4,FALSE)</f>
        <v/>
      </c>
    </row>
    <row r="66">
      <c r="A66" t="inlineStr">
        <is>
          <t>INV200065</t>
        </is>
      </c>
      <c r="B66" t="n">
        <v>9</v>
      </c>
      <c r="C66" t="inlineStr">
        <is>
          <t>V0009</t>
        </is>
      </c>
      <c r="D66" t="n">
        <v>9</v>
      </c>
      <c r="E66" t="n">
        <v>61400</v>
      </c>
      <c r="F66" t="inlineStr">
        <is>
          <t>PO100057</t>
        </is>
      </c>
      <c r="G66" t="n">
        <v>20260104</v>
      </c>
      <c r="H66" t="inlineStr">
        <is>
          <t>2026-01-04</t>
        </is>
      </c>
      <c r="I66" t="n">
        <v>20260119</v>
      </c>
      <c r="J66" t="inlineStr">
        <is>
          <t>2026-01-19</t>
        </is>
      </c>
      <c r="K66" s="9" t="n">
        <v>3038.31</v>
      </c>
      <c r="L66" t="inlineStr">
        <is>
          <t>USD</t>
        </is>
      </c>
      <c r="M66" s="4" t="n">
        <v>3038.31</v>
      </c>
      <c r="N66" t="inlineStr">
        <is>
          <t>Paid</t>
        </is>
      </c>
      <c r="O66" t="inlineStr">
        <is>
          <t>False</t>
        </is>
      </c>
      <c r="P66" t="n">
        <v>15</v>
      </c>
      <c r="Q66">
        <f>VLOOKUP(D66,GL_Accounts!$A$2:$E$1048576,5,FALSE)</f>
        <v/>
      </c>
      <c r="R66">
        <f>VLOOKUP(D66,GL_Accounts!$A$2:$E$1048576,4,FALSE)</f>
        <v/>
      </c>
    </row>
    <row r="67">
      <c r="A67" t="inlineStr">
        <is>
          <t>INV200066</t>
        </is>
      </c>
      <c r="B67" t="n">
        <v>63</v>
      </c>
      <c r="C67" t="inlineStr">
        <is>
          <t>V0043</t>
        </is>
      </c>
      <c r="D67" t="n">
        <v>7</v>
      </c>
      <c r="E67" t="n">
        <v>61200</v>
      </c>
      <c r="F67" t="inlineStr">
        <is>
          <t>PO100058</t>
        </is>
      </c>
      <c r="G67" t="n">
        <v>20260220</v>
      </c>
      <c r="H67" t="inlineStr">
        <is>
          <t>2026-02-20</t>
        </is>
      </c>
      <c r="I67" t="n">
        <v>20260307</v>
      </c>
      <c r="J67" t="inlineStr">
        <is>
          <t>2026-03-07</t>
        </is>
      </c>
      <c r="K67" s="9" t="n">
        <v>15006.19</v>
      </c>
      <c r="L67" t="inlineStr">
        <is>
          <t>USD</t>
        </is>
      </c>
      <c r="M67" s="4" t="n">
        <v>15006.19</v>
      </c>
      <c r="N67" t="inlineStr">
        <is>
          <t>Paid</t>
        </is>
      </c>
      <c r="O67" t="inlineStr">
        <is>
          <t>False</t>
        </is>
      </c>
      <c r="P67" t="n">
        <v>15</v>
      </c>
      <c r="Q67">
        <f>VLOOKUP(D67,GL_Accounts!$A$2:$E$1048576,5,FALSE)</f>
        <v/>
      </c>
      <c r="R67">
        <f>VLOOKUP(D67,GL_Accounts!$A$2:$E$1048576,4,FALSE)</f>
        <v/>
      </c>
    </row>
    <row r="68">
      <c r="A68" t="inlineStr">
        <is>
          <t>INV200067</t>
        </is>
      </c>
      <c r="B68" t="n">
        <v>16</v>
      </c>
      <c r="C68" t="inlineStr">
        <is>
          <t>V0016</t>
        </is>
      </c>
      <c r="D68" t="n">
        <v>19</v>
      </c>
      <c r="E68" t="n">
        <v>64300</v>
      </c>
      <c r="F68" t="inlineStr">
        <is>
          <t>PO100059</t>
        </is>
      </c>
      <c r="G68" t="n">
        <v>20260709</v>
      </c>
      <c r="H68" t="inlineStr">
        <is>
          <t>2026-07-09</t>
        </is>
      </c>
      <c r="I68" t="n">
        <v>20260808</v>
      </c>
      <c r="J68" t="inlineStr">
        <is>
          <t>2026-08-08</t>
        </is>
      </c>
      <c r="K68" s="9" t="n">
        <v>7613.55</v>
      </c>
      <c r="L68" t="inlineStr">
        <is>
          <t>USD</t>
        </is>
      </c>
      <c r="M68" s="4" t="n">
        <v>7613.55</v>
      </c>
      <c r="N68" t="inlineStr">
        <is>
          <t>Paid</t>
        </is>
      </c>
      <c r="O68" t="inlineStr">
        <is>
          <t>False</t>
        </is>
      </c>
      <c r="P68" t="n">
        <v>30</v>
      </c>
      <c r="Q68">
        <f>VLOOKUP(D68,GL_Accounts!$A$2:$E$1048576,5,FALSE)</f>
        <v/>
      </c>
      <c r="R68">
        <f>VLOOKUP(D68,GL_Accounts!$A$2:$E$1048576,4,FALSE)</f>
        <v/>
      </c>
    </row>
    <row r="69">
      <c r="A69" t="inlineStr">
        <is>
          <t>INV200068</t>
        </is>
      </c>
      <c r="B69" t="n">
        <v>50</v>
      </c>
      <c r="C69" t="inlineStr">
        <is>
          <t>V0050</t>
        </is>
      </c>
      <c r="D69" t="n">
        <v>3</v>
      </c>
      <c r="E69" t="n">
        <v>60120</v>
      </c>
      <c r="F69" t="inlineStr">
        <is>
          <t>PO100060</t>
        </is>
      </c>
      <c r="G69" t="n">
        <v>20250905</v>
      </c>
      <c r="H69" t="inlineStr">
        <is>
          <t>2025-09-05</t>
        </is>
      </c>
      <c r="I69" t="n">
        <v>20251005</v>
      </c>
      <c r="J69" t="inlineStr">
        <is>
          <t>2025-10-05</t>
        </is>
      </c>
      <c r="K69" s="9" t="n">
        <v>2691.82</v>
      </c>
      <c r="L69" t="inlineStr">
        <is>
          <t>USD</t>
        </is>
      </c>
      <c r="M69" s="4" t="n">
        <v>2691.82</v>
      </c>
      <c r="N69" t="inlineStr">
        <is>
          <t>Paid</t>
        </is>
      </c>
      <c r="O69" t="inlineStr">
        <is>
          <t>False</t>
        </is>
      </c>
      <c r="P69" t="n">
        <v>30</v>
      </c>
      <c r="Q69">
        <f>VLOOKUP(D69,GL_Accounts!$A$2:$E$1048576,5,FALSE)</f>
        <v/>
      </c>
      <c r="R69">
        <f>VLOOKUP(D69,GL_Accounts!$A$2:$E$1048576,4,FALSE)</f>
        <v/>
      </c>
    </row>
    <row r="70">
      <c r="A70" t="inlineStr">
        <is>
          <t>INV200069</t>
        </is>
      </c>
      <c r="B70" t="n">
        <v>50</v>
      </c>
      <c r="C70" t="inlineStr">
        <is>
          <t>V0050</t>
        </is>
      </c>
      <c r="D70" t="n">
        <v>1</v>
      </c>
      <c r="E70" t="n">
        <v>60100</v>
      </c>
      <c r="F70" t="inlineStr">
        <is>
          <t>PO100060</t>
        </is>
      </c>
      <c r="G70" t="n">
        <v>20251009</v>
      </c>
      <c r="H70" t="inlineStr">
        <is>
          <t>2025-10-09</t>
        </is>
      </c>
      <c r="I70" t="n">
        <v>20251108</v>
      </c>
      <c r="J70" t="inlineStr">
        <is>
          <t>2025-11-08</t>
        </is>
      </c>
      <c r="K70" s="9" t="n">
        <v>2982.15</v>
      </c>
      <c r="L70" t="inlineStr">
        <is>
          <t>USD</t>
        </is>
      </c>
      <c r="M70" s="4" t="n">
        <v>2982.15</v>
      </c>
      <c r="N70" t="inlineStr">
        <is>
          <t>Paid</t>
        </is>
      </c>
      <c r="O70" t="inlineStr">
        <is>
          <t>False</t>
        </is>
      </c>
      <c r="P70" t="n">
        <v>30</v>
      </c>
      <c r="Q70">
        <f>VLOOKUP(D70,GL_Accounts!$A$2:$E$1048576,5,FALSE)</f>
        <v/>
      </c>
      <c r="R70">
        <f>VLOOKUP(D70,GL_Accounts!$A$2:$E$1048576,4,FALSE)</f>
        <v/>
      </c>
    </row>
    <row r="71">
      <c r="A71" t="inlineStr">
        <is>
          <t>INV200070</t>
        </is>
      </c>
      <c r="B71" t="n">
        <v>50</v>
      </c>
      <c r="C71" t="inlineStr">
        <is>
          <t>V0050</t>
        </is>
      </c>
      <c r="D71" t="n">
        <v>1</v>
      </c>
      <c r="E71" t="n">
        <v>60100</v>
      </c>
      <c r="F71" t="inlineStr">
        <is>
          <t>PO100060</t>
        </is>
      </c>
      <c r="G71" t="n">
        <v>20251106</v>
      </c>
      <c r="H71" t="inlineStr">
        <is>
          <t>2025-11-06</t>
        </is>
      </c>
      <c r="I71" t="n">
        <v>20251206</v>
      </c>
      <c r="J71" t="inlineStr">
        <is>
          <t>2025-12-06</t>
        </is>
      </c>
      <c r="K71" s="9" t="n">
        <v>4118.94</v>
      </c>
      <c r="L71" t="inlineStr">
        <is>
          <t>USD</t>
        </is>
      </c>
      <c r="M71" s="4" t="n">
        <v>4118.94</v>
      </c>
      <c r="N71" t="inlineStr">
        <is>
          <t>Paid</t>
        </is>
      </c>
      <c r="O71" t="inlineStr">
        <is>
          <t>False</t>
        </is>
      </c>
      <c r="P71" t="n">
        <v>30</v>
      </c>
      <c r="Q71">
        <f>VLOOKUP(D71,GL_Accounts!$A$2:$E$1048576,5,FALSE)</f>
        <v/>
      </c>
      <c r="R71">
        <f>VLOOKUP(D71,GL_Accounts!$A$2:$E$1048576,4,FALSE)</f>
        <v/>
      </c>
    </row>
    <row r="72">
      <c r="A72" t="inlineStr">
        <is>
          <t>INV200071</t>
        </is>
      </c>
      <c r="B72" t="n">
        <v>22</v>
      </c>
      <c r="C72" t="inlineStr">
        <is>
          <t>V0022</t>
        </is>
      </c>
      <c r="D72" t="n">
        <v>9</v>
      </c>
      <c r="E72" t="n">
        <v>61400</v>
      </c>
      <c r="F72" t="inlineStr">
        <is>
          <t>PO100061</t>
        </is>
      </c>
      <c r="G72" t="n">
        <v>20250924</v>
      </c>
      <c r="H72" t="inlineStr">
        <is>
          <t>2025-09-24</t>
        </is>
      </c>
      <c r="I72" t="n">
        <v>20251024</v>
      </c>
      <c r="J72" t="inlineStr">
        <is>
          <t>2025-10-24</t>
        </is>
      </c>
      <c r="K72" s="9" t="n">
        <v>5175.1</v>
      </c>
      <c r="L72" t="inlineStr">
        <is>
          <t>USD</t>
        </is>
      </c>
      <c r="M72" s="4" t="n">
        <v>5175.1</v>
      </c>
      <c r="N72" t="inlineStr">
        <is>
          <t>Paid</t>
        </is>
      </c>
      <c r="O72" t="inlineStr">
        <is>
          <t>False</t>
        </is>
      </c>
      <c r="P72" t="n">
        <v>30</v>
      </c>
      <c r="Q72">
        <f>VLOOKUP(D72,GL_Accounts!$A$2:$E$1048576,5,FALSE)</f>
        <v/>
      </c>
      <c r="R72">
        <f>VLOOKUP(D72,GL_Accounts!$A$2:$E$1048576,4,FALSE)</f>
        <v/>
      </c>
    </row>
    <row r="73">
      <c r="A73" t="inlineStr">
        <is>
          <t>INV200072</t>
        </is>
      </c>
      <c r="B73" t="n">
        <v>9</v>
      </c>
      <c r="C73" t="inlineStr">
        <is>
          <t>V0009</t>
        </is>
      </c>
      <c r="D73" t="n">
        <v>9</v>
      </c>
      <c r="E73" t="n">
        <v>61400</v>
      </c>
      <c r="F73" t="inlineStr">
        <is>
          <t>PO100064</t>
        </is>
      </c>
      <c r="G73" t="n">
        <v>20250705</v>
      </c>
      <c r="H73" t="inlineStr">
        <is>
          <t>2025-07-05</t>
        </is>
      </c>
      <c r="I73" t="n">
        <v>20250720</v>
      </c>
      <c r="J73" t="inlineStr">
        <is>
          <t>2025-07-20</t>
        </is>
      </c>
      <c r="K73" s="9" t="n">
        <v>3822.36</v>
      </c>
      <c r="L73" t="inlineStr">
        <is>
          <t>USD</t>
        </is>
      </c>
      <c r="M73" s="4" t="n">
        <v>3822.36</v>
      </c>
      <c r="N73" t="inlineStr">
        <is>
          <t>Paid</t>
        </is>
      </c>
      <c r="O73" t="inlineStr">
        <is>
          <t>False</t>
        </is>
      </c>
      <c r="P73" t="n">
        <v>15</v>
      </c>
      <c r="Q73">
        <f>VLOOKUP(D73,GL_Accounts!$A$2:$E$1048576,5,FALSE)</f>
        <v/>
      </c>
      <c r="R73">
        <f>VLOOKUP(D73,GL_Accounts!$A$2:$E$1048576,4,FALSE)</f>
        <v/>
      </c>
    </row>
    <row r="74">
      <c r="A74" t="inlineStr">
        <is>
          <t>INV200073</t>
        </is>
      </c>
      <c r="B74" t="n">
        <v>59</v>
      </c>
      <c r="C74" t="inlineStr">
        <is>
          <t>V0024</t>
        </is>
      </c>
      <c r="D74" t="n">
        <v>19</v>
      </c>
      <c r="E74" t="n">
        <v>64300</v>
      </c>
      <c r="F74" t="inlineStr">
        <is>
          <t>PO100065</t>
        </is>
      </c>
      <c r="G74" t="n">
        <v>20260307</v>
      </c>
      <c r="H74" t="inlineStr">
        <is>
          <t>2026-03-07</t>
        </is>
      </c>
      <c r="I74" t="n">
        <v>20260421</v>
      </c>
      <c r="J74" t="inlineStr">
        <is>
          <t>2026-04-21</t>
        </is>
      </c>
      <c r="K74" s="9" t="n">
        <v>5375.96</v>
      </c>
      <c r="L74" t="inlineStr">
        <is>
          <t>USD</t>
        </is>
      </c>
      <c r="M74" s="4" t="n">
        <v>5375.96</v>
      </c>
      <c r="N74" t="inlineStr">
        <is>
          <t>Paid</t>
        </is>
      </c>
      <c r="O74" t="inlineStr">
        <is>
          <t>False</t>
        </is>
      </c>
      <c r="P74" t="n">
        <v>45</v>
      </c>
      <c r="Q74">
        <f>VLOOKUP(D74,GL_Accounts!$A$2:$E$1048576,5,FALSE)</f>
        <v/>
      </c>
      <c r="R74">
        <f>VLOOKUP(D74,GL_Accounts!$A$2:$E$1048576,4,FALSE)</f>
        <v/>
      </c>
    </row>
    <row r="75">
      <c r="A75" t="inlineStr">
        <is>
          <t>INV200074</t>
        </is>
      </c>
      <c r="B75" t="n">
        <v>32</v>
      </c>
      <c r="C75" t="inlineStr">
        <is>
          <t>V0032</t>
        </is>
      </c>
      <c r="D75" t="n">
        <v>7</v>
      </c>
      <c r="E75" t="n">
        <v>61200</v>
      </c>
      <c r="F75" t="inlineStr">
        <is>
          <t>PO100066</t>
        </is>
      </c>
      <c r="G75" t="n">
        <v>20250302</v>
      </c>
      <c r="H75" t="inlineStr">
        <is>
          <t>2025-03-02</t>
        </is>
      </c>
      <c r="I75" t="n">
        <v>20250416</v>
      </c>
      <c r="J75" t="inlineStr">
        <is>
          <t>2025-04-16</t>
        </is>
      </c>
      <c r="K75" s="9" t="n">
        <v>7815.07</v>
      </c>
      <c r="L75" t="inlineStr">
        <is>
          <t>USD</t>
        </is>
      </c>
      <c r="M75" s="4" t="n">
        <v>7815.07</v>
      </c>
      <c r="N75" t="inlineStr">
        <is>
          <t>Paid</t>
        </is>
      </c>
      <c r="O75" t="inlineStr">
        <is>
          <t>False</t>
        </is>
      </c>
      <c r="P75" t="n">
        <v>45</v>
      </c>
      <c r="Q75">
        <f>VLOOKUP(D75,GL_Accounts!$A$2:$E$1048576,5,FALSE)</f>
        <v/>
      </c>
      <c r="R75">
        <f>VLOOKUP(D75,GL_Accounts!$A$2:$E$1048576,4,FALSE)</f>
        <v/>
      </c>
    </row>
    <row r="76">
      <c r="A76" t="inlineStr">
        <is>
          <t>INV200075</t>
        </is>
      </c>
      <c r="B76" t="n">
        <v>8</v>
      </c>
      <c r="C76" t="inlineStr">
        <is>
          <t>V0008</t>
        </is>
      </c>
      <c r="D76" t="n">
        <v>14</v>
      </c>
      <c r="E76" t="n">
        <v>63100</v>
      </c>
      <c r="F76" t="inlineStr">
        <is>
          <t>PO100067</t>
        </is>
      </c>
      <c r="G76" t="n">
        <v>20250830</v>
      </c>
      <c r="H76" t="inlineStr">
        <is>
          <t>2025-08-30</t>
        </is>
      </c>
      <c r="I76" t="n">
        <v>20251014</v>
      </c>
      <c r="J76" t="inlineStr">
        <is>
          <t>2025-10-14</t>
        </is>
      </c>
      <c r="K76" s="9" t="n">
        <v>635.5700000000001</v>
      </c>
      <c r="L76" t="inlineStr">
        <is>
          <t>EUR</t>
        </is>
      </c>
      <c r="M76" s="4" t="n">
        <v>686.42</v>
      </c>
      <c r="N76" t="inlineStr">
        <is>
          <t>Paid</t>
        </is>
      </c>
      <c r="O76" t="inlineStr">
        <is>
          <t>False</t>
        </is>
      </c>
      <c r="P76" t="n">
        <v>45</v>
      </c>
      <c r="Q76">
        <f>VLOOKUP(D76,GL_Accounts!$A$2:$E$1048576,5,FALSE)</f>
        <v/>
      </c>
      <c r="R76">
        <f>VLOOKUP(D76,GL_Accounts!$A$2:$E$1048576,4,FALSE)</f>
        <v/>
      </c>
    </row>
    <row r="77">
      <c r="A77" t="inlineStr">
        <is>
          <t>INV200076</t>
        </is>
      </c>
      <c r="B77" t="n">
        <v>8</v>
      </c>
      <c r="C77" t="inlineStr">
        <is>
          <t>V0008</t>
        </is>
      </c>
      <c r="D77" t="n">
        <v>20</v>
      </c>
      <c r="E77" t="n">
        <v>65100</v>
      </c>
      <c r="F77" t="inlineStr">
        <is>
          <t>PO100067</t>
        </is>
      </c>
      <c r="G77" t="n">
        <v>20250906</v>
      </c>
      <c r="H77" t="inlineStr">
        <is>
          <t>2025-09-06</t>
        </is>
      </c>
      <c r="I77" t="n">
        <v>20251021</v>
      </c>
      <c r="J77" t="inlineStr">
        <is>
          <t>2025-10-21</t>
        </is>
      </c>
      <c r="K77" s="9" t="n">
        <v>287.56</v>
      </c>
      <c r="L77" t="inlineStr">
        <is>
          <t>EUR</t>
        </is>
      </c>
      <c r="M77" s="4" t="n">
        <v>310.56</v>
      </c>
      <c r="N77" t="inlineStr">
        <is>
          <t>Paid</t>
        </is>
      </c>
      <c r="O77" t="inlineStr">
        <is>
          <t>False</t>
        </is>
      </c>
      <c r="P77" t="n">
        <v>45</v>
      </c>
      <c r="Q77">
        <f>VLOOKUP(D77,GL_Accounts!$A$2:$E$1048576,5,FALSE)</f>
        <v/>
      </c>
      <c r="R77">
        <f>VLOOKUP(D77,GL_Accounts!$A$2:$E$1048576,4,FALSE)</f>
        <v/>
      </c>
    </row>
    <row r="78">
      <c r="A78" t="inlineStr">
        <is>
          <t>INV200077</t>
        </is>
      </c>
      <c r="B78" t="n">
        <v>42</v>
      </c>
      <c r="C78" t="inlineStr">
        <is>
          <t>V0042</t>
        </is>
      </c>
      <c r="D78" t="n">
        <v>16</v>
      </c>
      <c r="E78" t="n">
        <v>63300</v>
      </c>
      <c r="F78" t="inlineStr">
        <is>
          <t>PO100068</t>
        </is>
      </c>
      <c r="G78" t="n">
        <v>20250417</v>
      </c>
      <c r="H78" t="inlineStr">
        <is>
          <t>2025-04-17</t>
        </is>
      </c>
      <c r="I78" t="n">
        <v>20250601</v>
      </c>
      <c r="J78" t="inlineStr">
        <is>
          <t>2025-06-01</t>
        </is>
      </c>
      <c r="K78" s="9" t="n">
        <v>29857.91</v>
      </c>
      <c r="L78" t="inlineStr">
        <is>
          <t>USD</t>
        </is>
      </c>
      <c r="M78" s="4" t="n">
        <v>29857.91</v>
      </c>
      <c r="N78" t="inlineStr">
        <is>
          <t>Paid</t>
        </is>
      </c>
      <c r="O78" t="inlineStr">
        <is>
          <t>False</t>
        </is>
      </c>
      <c r="P78" t="n">
        <v>45</v>
      </c>
      <c r="Q78">
        <f>VLOOKUP(D78,GL_Accounts!$A$2:$E$1048576,5,FALSE)</f>
        <v/>
      </c>
      <c r="R78">
        <f>VLOOKUP(D78,GL_Accounts!$A$2:$E$1048576,4,FALSE)</f>
        <v/>
      </c>
    </row>
    <row r="79">
      <c r="A79" t="inlineStr">
        <is>
          <t>INV200078</t>
        </is>
      </c>
      <c r="B79" t="n">
        <v>44</v>
      </c>
      <c r="C79" t="inlineStr">
        <is>
          <t>V0044</t>
        </is>
      </c>
      <c r="D79" t="n">
        <v>3</v>
      </c>
      <c r="E79" t="n">
        <v>60120</v>
      </c>
      <c r="F79" t="inlineStr">
        <is>
          <t>PO100069</t>
        </is>
      </c>
      <c r="G79" t="n">
        <v>20260212</v>
      </c>
      <c r="H79" t="inlineStr">
        <is>
          <t>2026-02-12</t>
        </is>
      </c>
      <c r="I79" t="n">
        <v>20260314</v>
      </c>
      <c r="J79" t="inlineStr">
        <is>
          <t>2026-03-14</t>
        </is>
      </c>
      <c r="K79" s="9" t="n">
        <v>14298.27</v>
      </c>
      <c r="L79" t="inlineStr">
        <is>
          <t>CAD</t>
        </is>
      </c>
      <c r="M79" s="4" t="n">
        <v>10580.72</v>
      </c>
      <c r="N79" t="inlineStr">
        <is>
          <t>Paid</t>
        </is>
      </c>
      <c r="O79" t="inlineStr">
        <is>
          <t>False</t>
        </is>
      </c>
      <c r="P79" t="n">
        <v>30</v>
      </c>
      <c r="Q79">
        <f>VLOOKUP(D79,GL_Accounts!$A$2:$E$1048576,5,FALSE)</f>
        <v/>
      </c>
      <c r="R79">
        <f>VLOOKUP(D79,GL_Accounts!$A$2:$E$1048576,4,FALSE)</f>
        <v/>
      </c>
    </row>
    <row r="80">
      <c r="A80" t="inlineStr">
        <is>
          <t>INV200079</t>
        </is>
      </c>
      <c r="B80" t="n">
        <v>42</v>
      </c>
      <c r="C80" t="inlineStr">
        <is>
          <t>V0042</t>
        </is>
      </c>
      <c r="D80" t="n">
        <v>18</v>
      </c>
      <c r="E80" t="n">
        <v>64200</v>
      </c>
      <c r="F80" t="inlineStr">
        <is>
          <t>PO100070</t>
        </is>
      </c>
      <c r="G80" t="n">
        <v>20250811</v>
      </c>
      <c r="H80" t="inlineStr">
        <is>
          <t>2025-08-11</t>
        </is>
      </c>
      <c r="I80" t="n">
        <v>20250925</v>
      </c>
      <c r="J80" t="inlineStr">
        <is>
          <t>2025-09-25</t>
        </is>
      </c>
      <c r="K80" s="9" t="n">
        <v>22823.14</v>
      </c>
      <c r="L80" t="inlineStr">
        <is>
          <t>USD</t>
        </is>
      </c>
      <c r="M80" s="4" t="n">
        <v>22823.14</v>
      </c>
      <c r="N80" t="inlineStr">
        <is>
          <t>Paid</t>
        </is>
      </c>
      <c r="O80" t="inlineStr">
        <is>
          <t>False</t>
        </is>
      </c>
      <c r="P80" t="n">
        <v>45</v>
      </c>
      <c r="Q80">
        <f>VLOOKUP(D80,GL_Accounts!$A$2:$E$1048576,5,FALSE)</f>
        <v/>
      </c>
      <c r="R80">
        <f>VLOOKUP(D80,GL_Accounts!$A$2:$E$1048576,4,FALSE)</f>
        <v/>
      </c>
    </row>
    <row r="81">
      <c r="A81" t="inlineStr">
        <is>
          <t>INV200080</t>
        </is>
      </c>
      <c r="B81" t="n">
        <v>21</v>
      </c>
      <c r="C81" t="inlineStr">
        <is>
          <t>V0021</t>
        </is>
      </c>
      <c r="D81" t="n">
        <v>17</v>
      </c>
      <c r="E81" t="n">
        <v>64100</v>
      </c>
      <c r="F81" t="inlineStr">
        <is>
          <t>PO100071</t>
        </is>
      </c>
      <c r="G81" t="n">
        <v>20260525</v>
      </c>
      <c r="H81" t="inlineStr">
        <is>
          <t>2026-05-25</t>
        </is>
      </c>
      <c r="I81" t="n">
        <v>20260724</v>
      </c>
      <c r="J81" t="inlineStr">
        <is>
          <t>2026-07-24</t>
        </is>
      </c>
      <c r="K81" s="9" t="n">
        <v>54476.16</v>
      </c>
      <c r="L81" t="inlineStr">
        <is>
          <t>USD</t>
        </is>
      </c>
      <c r="M81" s="4" t="n">
        <v>54476.16</v>
      </c>
      <c r="N81" t="inlineStr">
        <is>
          <t>Unpaid</t>
        </is>
      </c>
      <c r="O81" t="inlineStr">
        <is>
          <t>False</t>
        </is>
      </c>
      <c r="P81" t="n">
        <v>60</v>
      </c>
      <c r="Q81">
        <f>VLOOKUP(D81,GL_Accounts!$A$2:$E$1048576,5,FALSE)</f>
        <v/>
      </c>
      <c r="R81">
        <f>VLOOKUP(D81,GL_Accounts!$A$2:$E$1048576,4,FALSE)</f>
        <v/>
      </c>
    </row>
    <row r="82">
      <c r="A82" t="inlineStr">
        <is>
          <t>INV200081</t>
        </is>
      </c>
      <c r="B82" t="n">
        <v>9</v>
      </c>
      <c r="C82" t="inlineStr">
        <is>
          <t>V0009</t>
        </is>
      </c>
      <c r="D82" t="n">
        <v>9</v>
      </c>
      <c r="E82" t="n">
        <v>61400</v>
      </c>
      <c r="F82" t="inlineStr">
        <is>
          <t>PO100072</t>
        </is>
      </c>
      <c r="G82" t="n">
        <v>20250128</v>
      </c>
      <c r="H82" t="inlineStr">
        <is>
          <t>2025-01-28</t>
        </is>
      </c>
      <c r="I82" t="n">
        <v>20250212</v>
      </c>
      <c r="J82" t="inlineStr">
        <is>
          <t>2025-02-12</t>
        </is>
      </c>
      <c r="K82" s="9" t="n">
        <v>5523.49</v>
      </c>
      <c r="L82" t="inlineStr">
        <is>
          <t>USD</t>
        </is>
      </c>
      <c r="M82" s="4" t="n">
        <v>5523.49</v>
      </c>
      <c r="N82" t="inlineStr">
        <is>
          <t>Paid</t>
        </is>
      </c>
      <c r="O82" t="inlineStr">
        <is>
          <t>False</t>
        </is>
      </c>
      <c r="P82" t="n">
        <v>15</v>
      </c>
      <c r="Q82">
        <f>VLOOKUP(D82,GL_Accounts!$A$2:$E$1048576,5,FALSE)</f>
        <v/>
      </c>
      <c r="R82">
        <f>VLOOKUP(D82,GL_Accounts!$A$2:$E$1048576,4,FALSE)</f>
        <v/>
      </c>
    </row>
    <row r="83">
      <c r="A83" t="inlineStr">
        <is>
          <t>INV200082</t>
        </is>
      </c>
      <c r="B83" t="n">
        <v>9</v>
      </c>
      <c r="C83" t="inlineStr">
        <is>
          <t>V0009</t>
        </is>
      </c>
      <c r="D83" t="n">
        <v>6</v>
      </c>
      <c r="E83" t="n">
        <v>61100</v>
      </c>
      <c r="F83" t="inlineStr">
        <is>
          <t>PO100072</t>
        </is>
      </c>
      <c r="G83" t="n">
        <v>20250227</v>
      </c>
      <c r="H83" t="inlineStr">
        <is>
          <t>2025-02-27</t>
        </is>
      </c>
      <c r="I83" t="n">
        <v>20250314</v>
      </c>
      <c r="J83" t="inlineStr">
        <is>
          <t>2025-03-14</t>
        </is>
      </c>
      <c r="K83" s="9" t="n">
        <v>11894.12</v>
      </c>
      <c r="L83" t="inlineStr">
        <is>
          <t>USD</t>
        </is>
      </c>
      <c r="M83" s="4" t="n">
        <v>11894.12</v>
      </c>
      <c r="N83" t="inlineStr">
        <is>
          <t>Paid</t>
        </is>
      </c>
      <c r="O83" t="inlineStr">
        <is>
          <t>False</t>
        </is>
      </c>
      <c r="P83" t="n">
        <v>15</v>
      </c>
      <c r="Q83">
        <f>VLOOKUP(D83,GL_Accounts!$A$2:$E$1048576,5,FALSE)</f>
        <v/>
      </c>
      <c r="R83">
        <f>VLOOKUP(D83,GL_Accounts!$A$2:$E$1048576,4,FALSE)</f>
        <v/>
      </c>
    </row>
    <row r="84">
      <c r="A84" t="inlineStr">
        <is>
          <t>INV200083</t>
        </is>
      </c>
      <c r="B84" t="n">
        <v>9</v>
      </c>
      <c r="C84" t="inlineStr">
        <is>
          <t>V0009</t>
        </is>
      </c>
      <c r="D84" t="n">
        <v>9</v>
      </c>
      <c r="E84" t="n">
        <v>61400</v>
      </c>
      <c r="F84" t="inlineStr">
        <is>
          <t>PO100073</t>
        </is>
      </c>
      <c r="G84" t="n">
        <v>20251022</v>
      </c>
      <c r="H84" t="inlineStr">
        <is>
          <t>2025-10-22</t>
        </is>
      </c>
      <c r="I84" t="n">
        <v>20251106</v>
      </c>
      <c r="J84" t="inlineStr">
        <is>
          <t>2025-11-06</t>
        </is>
      </c>
      <c r="K84" s="9" t="n">
        <v>30499.24</v>
      </c>
      <c r="L84" t="inlineStr">
        <is>
          <t>USD</t>
        </is>
      </c>
      <c r="M84" s="4" t="n">
        <v>30499.24</v>
      </c>
      <c r="N84" t="inlineStr">
        <is>
          <t>Paid</t>
        </is>
      </c>
      <c r="O84" t="inlineStr">
        <is>
          <t>False</t>
        </is>
      </c>
      <c r="P84" t="n">
        <v>15</v>
      </c>
      <c r="Q84">
        <f>VLOOKUP(D84,GL_Accounts!$A$2:$E$1048576,5,FALSE)</f>
        <v/>
      </c>
      <c r="R84">
        <f>VLOOKUP(D84,GL_Accounts!$A$2:$E$1048576,4,FALSE)</f>
        <v/>
      </c>
    </row>
    <row r="85">
      <c r="A85" t="inlineStr">
        <is>
          <t>INV200084</t>
        </is>
      </c>
      <c r="B85" t="n">
        <v>7</v>
      </c>
      <c r="C85" t="inlineStr">
        <is>
          <t>V0007</t>
        </is>
      </c>
      <c r="D85" t="n">
        <v>6</v>
      </c>
      <c r="E85" t="n">
        <v>61100</v>
      </c>
      <c r="F85" t="inlineStr">
        <is>
          <t>PO100074</t>
        </is>
      </c>
      <c r="G85" t="n">
        <v>20251017</v>
      </c>
      <c r="H85" t="inlineStr">
        <is>
          <t>2025-10-17</t>
        </is>
      </c>
      <c r="I85" t="n">
        <v>20251201</v>
      </c>
      <c r="J85" t="inlineStr">
        <is>
          <t>2025-12-01</t>
        </is>
      </c>
      <c r="K85" s="9" t="n">
        <v>3831.27</v>
      </c>
      <c r="L85" t="inlineStr">
        <is>
          <t>USD</t>
        </is>
      </c>
      <c r="M85" s="4" t="n">
        <v>3831.27</v>
      </c>
      <c r="N85" t="inlineStr">
        <is>
          <t>Paid</t>
        </is>
      </c>
      <c r="O85" t="inlineStr">
        <is>
          <t>False</t>
        </is>
      </c>
      <c r="P85" t="n">
        <v>45</v>
      </c>
      <c r="Q85">
        <f>VLOOKUP(D85,GL_Accounts!$A$2:$E$1048576,5,FALSE)</f>
        <v/>
      </c>
      <c r="R85">
        <f>VLOOKUP(D85,GL_Accounts!$A$2:$E$1048576,4,FALSE)</f>
        <v/>
      </c>
    </row>
    <row r="86">
      <c r="A86" t="inlineStr">
        <is>
          <t>INV200085</t>
        </is>
      </c>
      <c r="B86" t="n">
        <v>9</v>
      </c>
      <c r="C86" t="inlineStr">
        <is>
          <t>V0009</t>
        </is>
      </c>
      <c r="D86" t="n">
        <v>9</v>
      </c>
      <c r="E86" t="n">
        <v>61400</v>
      </c>
      <c r="F86" t="inlineStr">
        <is>
          <t>PO100075</t>
        </is>
      </c>
      <c r="G86" t="n">
        <v>20250217</v>
      </c>
      <c r="H86" t="inlineStr">
        <is>
          <t>2025-02-17</t>
        </is>
      </c>
      <c r="I86" t="n">
        <v>20250304</v>
      </c>
      <c r="J86" t="inlineStr">
        <is>
          <t>2025-03-04</t>
        </is>
      </c>
      <c r="K86" s="9" t="n">
        <v>7369.42</v>
      </c>
      <c r="L86" t="inlineStr">
        <is>
          <t>USD</t>
        </is>
      </c>
      <c r="M86" s="4" t="n">
        <v>7369.42</v>
      </c>
      <c r="N86" t="inlineStr">
        <is>
          <t>Paid</t>
        </is>
      </c>
      <c r="O86" t="inlineStr">
        <is>
          <t>False</t>
        </is>
      </c>
      <c r="P86" t="n">
        <v>15</v>
      </c>
      <c r="Q86">
        <f>VLOOKUP(D86,GL_Accounts!$A$2:$E$1048576,5,FALSE)</f>
        <v/>
      </c>
      <c r="R86">
        <f>VLOOKUP(D86,GL_Accounts!$A$2:$E$1048576,4,FALSE)</f>
        <v/>
      </c>
    </row>
    <row r="87">
      <c r="A87" t="inlineStr">
        <is>
          <t>INV200086</t>
        </is>
      </c>
      <c r="B87" t="n">
        <v>9</v>
      </c>
      <c r="C87" t="inlineStr">
        <is>
          <t>V0009</t>
        </is>
      </c>
      <c r="D87" t="n">
        <v>6</v>
      </c>
      <c r="E87" t="n">
        <v>61100</v>
      </c>
      <c r="F87" t="inlineStr">
        <is>
          <t>PO100077</t>
        </is>
      </c>
      <c r="G87" t="n">
        <v>20250526</v>
      </c>
      <c r="H87" t="inlineStr">
        <is>
          <t>2025-05-26</t>
        </is>
      </c>
      <c r="I87" t="n">
        <v>20250610</v>
      </c>
      <c r="J87" t="inlineStr">
        <is>
          <t>2025-06-10</t>
        </is>
      </c>
      <c r="K87" s="9" t="n">
        <v>5052</v>
      </c>
      <c r="L87" t="inlineStr">
        <is>
          <t>USD</t>
        </is>
      </c>
      <c r="M87" s="4" t="n">
        <v>5052</v>
      </c>
      <c r="N87" t="inlineStr">
        <is>
          <t>Paid</t>
        </is>
      </c>
      <c r="O87" t="inlineStr">
        <is>
          <t>False</t>
        </is>
      </c>
      <c r="P87" t="n">
        <v>15</v>
      </c>
      <c r="Q87">
        <f>VLOOKUP(D87,GL_Accounts!$A$2:$E$1048576,5,FALSE)</f>
        <v/>
      </c>
      <c r="R87">
        <f>VLOOKUP(D87,GL_Accounts!$A$2:$E$1048576,4,FALSE)</f>
        <v/>
      </c>
    </row>
    <row r="88">
      <c r="A88" t="inlineStr">
        <is>
          <t>INV200087</t>
        </is>
      </c>
      <c r="B88" t="n">
        <v>9</v>
      </c>
      <c r="C88" t="inlineStr">
        <is>
          <t>V0009</t>
        </is>
      </c>
      <c r="D88" t="n">
        <v>9</v>
      </c>
      <c r="E88" t="n">
        <v>61400</v>
      </c>
      <c r="F88" t="inlineStr">
        <is>
          <t>PO100077</t>
        </is>
      </c>
      <c r="G88" t="n">
        <v>20250704</v>
      </c>
      <c r="H88" t="inlineStr">
        <is>
          <t>2025-07-04</t>
        </is>
      </c>
      <c r="I88" t="n">
        <v>20250719</v>
      </c>
      <c r="J88" t="inlineStr">
        <is>
          <t>2025-07-19</t>
        </is>
      </c>
      <c r="K88" s="9" t="n">
        <v>5675.55</v>
      </c>
      <c r="L88" t="inlineStr">
        <is>
          <t>USD</t>
        </is>
      </c>
      <c r="M88" s="4" t="n">
        <v>5675.55</v>
      </c>
      <c r="N88" t="inlineStr">
        <is>
          <t>Paid</t>
        </is>
      </c>
      <c r="O88" t="inlineStr">
        <is>
          <t>False</t>
        </is>
      </c>
      <c r="P88" t="n">
        <v>15</v>
      </c>
      <c r="Q88">
        <f>VLOOKUP(D88,GL_Accounts!$A$2:$E$1048576,5,FALSE)</f>
        <v/>
      </c>
      <c r="R88">
        <f>VLOOKUP(D88,GL_Accounts!$A$2:$E$1048576,4,FALSE)</f>
        <v/>
      </c>
    </row>
    <row r="89">
      <c r="A89" t="inlineStr">
        <is>
          <t>INV200088</t>
        </is>
      </c>
      <c r="B89" t="n">
        <v>33</v>
      </c>
      <c r="C89" t="inlineStr">
        <is>
          <t>V0033</t>
        </is>
      </c>
      <c r="D89" t="n">
        <v>14</v>
      </c>
      <c r="E89" t="n">
        <v>63100</v>
      </c>
      <c r="F89" t="inlineStr">
        <is>
          <t>PO100078</t>
        </is>
      </c>
      <c r="G89" t="n">
        <v>20250726</v>
      </c>
      <c r="H89" t="inlineStr">
        <is>
          <t>2025-07-26</t>
        </is>
      </c>
      <c r="I89" t="n">
        <v>20250924</v>
      </c>
      <c r="J89" t="inlineStr">
        <is>
          <t>2025-09-24</t>
        </is>
      </c>
      <c r="K89" s="9" t="n">
        <v>868.26</v>
      </c>
      <c r="L89" t="inlineStr">
        <is>
          <t>USD</t>
        </is>
      </c>
      <c r="M89" s="4" t="n">
        <v>868.26</v>
      </c>
      <c r="N89" t="inlineStr">
        <is>
          <t>Paid</t>
        </is>
      </c>
      <c r="O89" t="inlineStr">
        <is>
          <t>False</t>
        </is>
      </c>
      <c r="P89" t="n">
        <v>60</v>
      </c>
      <c r="Q89">
        <f>VLOOKUP(D89,GL_Accounts!$A$2:$E$1048576,5,FALSE)</f>
        <v/>
      </c>
      <c r="R89">
        <f>VLOOKUP(D89,GL_Accounts!$A$2:$E$1048576,4,FALSE)</f>
        <v/>
      </c>
    </row>
    <row r="90">
      <c r="A90" t="inlineStr">
        <is>
          <t>INV200089</t>
        </is>
      </c>
      <c r="B90" t="n">
        <v>31</v>
      </c>
      <c r="C90" t="inlineStr">
        <is>
          <t>V0031</t>
        </is>
      </c>
      <c r="D90" t="n">
        <v>1</v>
      </c>
      <c r="E90" t="n">
        <v>60100</v>
      </c>
      <c r="F90" t="inlineStr">
        <is>
          <t>PO100079</t>
        </is>
      </c>
      <c r="G90" t="n">
        <v>20260120</v>
      </c>
      <c r="H90" t="inlineStr">
        <is>
          <t>2026-01-20</t>
        </is>
      </c>
      <c r="I90" t="n">
        <v>20260219</v>
      </c>
      <c r="J90" t="inlineStr">
        <is>
          <t>2026-02-19</t>
        </is>
      </c>
      <c r="K90" s="9" t="n">
        <v>113824.02</v>
      </c>
      <c r="L90" t="inlineStr">
        <is>
          <t>USD</t>
        </is>
      </c>
      <c r="M90" s="4" t="n">
        <v>113824.02</v>
      </c>
      <c r="N90" t="inlineStr">
        <is>
          <t>Paid</t>
        </is>
      </c>
      <c r="O90" t="inlineStr">
        <is>
          <t>False</t>
        </is>
      </c>
      <c r="P90" t="n">
        <v>30</v>
      </c>
      <c r="Q90">
        <f>VLOOKUP(D90,GL_Accounts!$A$2:$E$1048576,5,FALSE)</f>
        <v/>
      </c>
      <c r="R90">
        <f>VLOOKUP(D90,GL_Accounts!$A$2:$E$1048576,4,FALSE)</f>
        <v/>
      </c>
    </row>
    <row r="91">
      <c r="A91" t="inlineStr">
        <is>
          <t>INV200090</t>
        </is>
      </c>
      <c r="B91" t="n">
        <v>17</v>
      </c>
      <c r="C91" t="inlineStr">
        <is>
          <t>V0017</t>
        </is>
      </c>
      <c r="D91" t="n">
        <v>6</v>
      </c>
      <c r="E91" t="n">
        <v>61100</v>
      </c>
      <c r="F91" t="inlineStr">
        <is>
          <t>PO100080</t>
        </is>
      </c>
      <c r="G91" t="n">
        <v>20250422</v>
      </c>
      <c r="H91" t="inlineStr">
        <is>
          <t>2025-04-22</t>
        </is>
      </c>
      <c r="I91" t="n">
        <v>20250606</v>
      </c>
      <c r="J91" t="inlineStr">
        <is>
          <t>2025-06-06</t>
        </is>
      </c>
      <c r="K91" s="9" t="n">
        <v>1852.46</v>
      </c>
      <c r="L91" t="inlineStr">
        <is>
          <t>USD</t>
        </is>
      </c>
      <c r="M91" s="4" t="n">
        <v>1852.46</v>
      </c>
      <c r="N91" t="inlineStr">
        <is>
          <t>Paid</t>
        </is>
      </c>
      <c r="O91" t="inlineStr">
        <is>
          <t>False</t>
        </is>
      </c>
      <c r="P91" t="n">
        <v>45</v>
      </c>
      <c r="Q91">
        <f>VLOOKUP(D91,GL_Accounts!$A$2:$E$1048576,5,FALSE)</f>
        <v/>
      </c>
      <c r="R91">
        <f>VLOOKUP(D91,GL_Accounts!$A$2:$E$1048576,4,FALSE)</f>
        <v/>
      </c>
    </row>
    <row r="92">
      <c r="A92" t="inlineStr">
        <is>
          <t>INV200091</t>
        </is>
      </c>
      <c r="B92" t="n">
        <v>17</v>
      </c>
      <c r="C92" t="inlineStr">
        <is>
          <t>V0017</t>
        </is>
      </c>
      <c r="D92" t="n">
        <v>7</v>
      </c>
      <c r="E92" t="n">
        <v>61200</v>
      </c>
      <c r="F92" t="inlineStr">
        <is>
          <t>PO100080</t>
        </is>
      </c>
      <c r="G92" t="n">
        <v>20250503</v>
      </c>
      <c r="H92" t="inlineStr">
        <is>
          <t>2025-05-03</t>
        </is>
      </c>
      <c r="I92" t="n">
        <v>20250617</v>
      </c>
      <c r="J92" t="inlineStr">
        <is>
          <t>2025-06-17</t>
        </is>
      </c>
      <c r="K92" s="9" t="n">
        <v>312.11</v>
      </c>
      <c r="L92" t="inlineStr">
        <is>
          <t>USD</t>
        </is>
      </c>
      <c r="M92" s="4" t="n">
        <v>312.11</v>
      </c>
      <c r="N92" t="inlineStr">
        <is>
          <t>Paid</t>
        </is>
      </c>
      <c r="O92" t="inlineStr">
        <is>
          <t>False</t>
        </is>
      </c>
      <c r="P92" t="n">
        <v>45</v>
      </c>
      <c r="Q92">
        <f>VLOOKUP(D92,GL_Accounts!$A$2:$E$1048576,5,FALSE)</f>
        <v/>
      </c>
      <c r="R92">
        <f>VLOOKUP(D92,GL_Accounts!$A$2:$E$1048576,4,FALSE)</f>
        <v/>
      </c>
    </row>
    <row r="93">
      <c r="A93" t="inlineStr">
        <is>
          <t>INV200092</t>
        </is>
      </c>
      <c r="B93" t="n">
        <v>17</v>
      </c>
      <c r="C93" t="inlineStr">
        <is>
          <t>V0017</t>
        </is>
      </c>
      <c r="D93" t="n">
        <v>7</v>
      </c>
      <c r="E93" t="n">
        <v>61200</v>
      </c>
      <c r="F93" t="inlineStr">
        <is>
          <t>PO100080</t>
        </is>
      </c>
      <c r="G93" t="n">
        <v>20250701</v>
      </c>
      <c r="H93" t="inlineStr">
        <is>
          <t>2025-07-01</t>
        </is>
      </c>
      <c r="I93" t="n">
        <v>20250815</v>
      </c>
      <c r="J93" t="inlineStr">
        <is>
          <t>2025-08-15</t>
        </is>
      </c>
      <c r="K93" s="9" t="n">
        <v>920.23</v>
      </c>
      <c r="L93" t="inlineStr">
        <is>
          <t>USD</t>
        </is>
      </c>
      <c r="M93" s="4" t="n">
        <v>920.23</v>
      </c>
      <c r="N93" t="inlineStr">
        <is>
          <t>Paid</t>
        </is>
      </c>
      <c r="O93" t="inlineStr">
        <is>
          <t>False</t>
        </is>
      </c>
      <c r="P93" t="n">
        <v>45</v>
      </c>
      <c r="Q93">
        <f>VLOOKUP(D93,GL_Accounts!$A$2:$E$1048576,5,FALSE)</f>
        <v/>
      </c>
      <c r="R93">
        <f>VLOOKUP(D93,GL_Accounts!$A$2:$E$1048576,4,FALSE)</f>
        <v/>
      </c>
    </row>
    <row r="94">
      <c r="A94" t="inlineStr">
        <is>
          <t>INV200093</t>
        </is>
      </c>
      <c r="B94" t="n">
        <v>2</v>
      </c>
      <c r="C94" t="inlineStr">
        <is>
          <t>V0002</t>
        </is>
      </c>
      <c r="D94" t="n">
        <v>11</v>
      </c>
      <c r="E94" t="n">
        <v>62200</v>
      </c>
      <c r="F94" t="inlineStr">
        <is>
          <t>PO100082</t>
        </is>
      </c>
      <c r="G94" t="n">
        <v>20250306</v>
      </c>
      <c r="H94" t="inlineStr">
        <is>
          <t>2025-03-06</t>
        </is>
      </c>
      <c r="I94" t="n">
        <v>20250420</v>
      </c>
      <c r="J94" t="inlineStr">
        <is>
          <t>2025-04-20</t>
        </is>
      </c>
      <c r="K94" s="9" t="n">
        <v>3684.92</v>
      </c>
      <c r="L94" t="inlineStr">
        <is>
          <t>USD</t>
        </is>
      </c>
      <c r="M94" s="4" t="n">
        <v>3684.92</v>
      </c>
      <c r="N94" t="inlineStr">
        <is>
          <t>Paid</t>
        </is>
      </c>
      <c r="O94" t="inlineStr">
        <is>
          <t>False</t>
        </is>
      </c>
      <c r="P94" t="n">
        <v>45</v>
      </c>
      <c r="Q94">
        <f>VLOOKUP(D94,GL_Accounts!$A$2:$E$1048576,5,FALSE)</f>
        <v/>
      </c>
      <c r="R94">
        <f>VLOOKUP(D94,GL_Accounts!$A$2:$E$1048576,4,FALSE)</f>
        <v/>
      </c>
    </row>
    <row r="95">
      <c r="A95" t="inlineStr">
        <is>
          <t>INV200094</t>
        </is>
      </c>
      <c r="B95" t="n">
        <v>42</v>
      </c>
      <c r="C95" t="inlineStr">
        <is>
          <t>V0042</t>
        </is>
      </c>
      <c r="D95" t="n">
        <v>8</v>
      </c>
      <c r="E95" t="n">
        <v>61300</v>
      </c>
      <c r="F95" t="inlineStr">
        <is>
          <t>PO100083</t>
        </is>
      </c>
      <c r="G95" t="n">
        <v>20250706</v>
      </c>
      <c r="H95" t="inlineStr">
        <is>
          <t>2025-07-06</t>
        </is>
      </c>
      <c r="I95" t="n">
        <v>20250820</v>
      </c>
      <c r="J95" t="inlineStr">
        <is>
          <t>2025-08-20</t>
        </is>
      </c>
      <c r="K95" s="9" t="n">
        <v>6120.1</v>
      </c>
      <c r="L95" t="inlineStr">
        <is>
          <t>USD</t>
        </is>
      </c>
      <c r="M95" s="4" t="n">
        <v>6120.1</v>
      </c>
      <c r="N95" t="inlineStr">
        <is>
          <t>Paid</t>
        </is>
      </c>
      <c r="O95" t="inlineStr">
        <is>
          <t>False</t>
        </is>
      </c>
      <c r="P95" t="n">
        <v>45</v>
      </c>
      <c r="Q95">
        <f>VLOOKUP(D95,GL_Accounts!$A$2:$E$1048576,5,FALSE)</f>
        <v/>
      </c>
      <c r="R95">
        <f>VLOOKUP(D95,GL_Accounts!$A$2:$E$1048576,4,FALSE)</f>
        <v/>
      </c>
    </row>
    <row r="96">
      <c r="A96" t="inlineStr">
        <is>
          <t>INV200095</t>
        </is>
      </c>
      <c r="B96" t="n">
        <v>40</v>
      </c>
      <c r="C96" t="inlineStr">
        <is>
          <t>V0040</t>
        </is>
      </c>
      <c r="D96" t="n">
        <v>13</v>
      </c>
      <c r="E96" t="n">
        <v>62400</v>
      </c>
      <c r="F96" t="inlineStr">
        <is>
          <t>PO100084</t>
        </is>
      </c>
      <c r="G96" t="n">
        <v>20251121</v>
      </c>
      <c r="H96" t="inlineStr">
        <is>
          <t>2025-11-21</t>
        </is>
      </c>
      <c r="I96" t="n">
        <v>20251221</v>
      </c>
      <c r="J96" t="inlineStr">
        <is>
          <t>2025-12-21</t>
        </is>
      </c>
      <c r="K96" s="9" t="n">
        <v>1362.63</v>
      </c>
      <c r="L96" t="inlineStr">
        <is>
          <t>USD</t>
        </is>
      </c>
      <c r="M96" s="4" t="n">
        <v>1362.63</v>
      </c>
      <c r="N96" t="inlineStr">
        <is>
          <t>Paid</t>
        </is>
      </c>
      <c r="O96" t="inlineStr">
        <is>
          <t>False</t>
        </is>
      </c>
      <c r="P96" t="n">
        <v>30</v>
      </c>
      <c r="Q96">
        <f>VLOOKUP(D96,GL_Accounts!$A$2:$E$1048576,5,FALSE)</f>
        <v/>
      </c>
      <c r="R96">
        <f>VLOOKUP(D96,GL_Accounts!$A$2:$E$1048576,4,FALSE)</f>
        <v/>
      </c>
    </row>
    <row r="97">
      <c r="A97" t="inlineStr">
        <is>
          <t>INV200096</t>
        </is>
      </c>
      <c r="B97" t="n">
        <v>39</v>
      </c>
      <c r="C97" t="inlineStr">
        <is>
          <t>V0039</t>
        </is>
      </c>
      <c r="D97" t="n">
        <v>18</v>
      </c>
      <c r="E97" t="n">
        <v>64200</v>
      </c>
      <c r="F97" t="inlineStr">
        <is>
          <t>PO100085</t>
        </is>
      </c>
      <c r="G97" t="n">
        <v>20250411</v>
      </c>
      <c r="H97" t="inlineStr">
        <is>
          <t>2025-04-11</t>
        </is>
      </c>
      <c r="I97" t="n">
        <v>20250610</v>
      </c>
      <c r="J97" t="inlineStr">
        <is>
          <t>2025-06-10</t>
        </is>
      </c>
      <c r="K97" s="9" t="n">
        <v>1971.93</v>
      </c>
      <c r="L97" t="inlineStr">
        <is>
          <t>CAD</t>
        </is>
      </c>
      <c r="M97" s="4" t="n">
        <v>1459.23</v>
      </c>
      <c r="N97" t="inlineStr">
        <is>
          <t>Paid</t>
        </is>
      </c>
      <c r="O97" t="inlineStr">
        <is>
          <t>False</t>
        </is>
      </c>
      <c r="P97" t="n">
        <v>60</v>
      </c>
      <c r="Q97">
        <f>VLOOKUP(D97,GL_Accounts!$A$2:$E$1048576,5,FALSE)</f>
        <v/>
      </c>
      <c r="R97">
        <f>VLOOKUP(D97,GL_Accounts!$A$2:$E$1048576,4,FALSE)</f>
        <v/>
      </c>
    </row>
    <row r="98">
      <c r="A98" t="inlineStr">
        <is>
          <t>INV200097</t>
        </is>
      </c>
      <c r="B98" t="n">
        <v>39</v>
      </c>
      <c r="C98" t="inlineStr">
        <is>
          <t>V0039</t>
        </is>
      </c>
      <c r="D98" t="n">
        <v>18</v>
      </c>
      <c r="E98" t="n">
        <v>64200</v>
      </c>
      <c r="F98" t="inlineStr">
        <is>
          <t>PO100085</t>
        </is>
      </c>
      <c r="G98" t="n">
        <v>20250524</v>
      </c>
      <c r="H98" t="inlineStr">
        <is>
          <t>2025-05-24</t>
        </is>
      </c>
      <c r="I98" t="n">
        <v>20250723</v>
      </c>
      <c r="J98" t="inlineStr">
        <is>
          <t>2025-07-23</t>
        </is>
      </c>
      <c r="K98" s="9" t="n">
        <v>4087.46</v>
      </c>
      <c r="L98" t="inlineStr">
        <is>
          <t>CAD</t>
        </is>
      </c>
      <c r="M98" s="4" t="n">
        <v>3024.72</v>
      </c>
      <c r="N98" t="inlineStr">
        <is>
          <t>Paid</t>
        </is>
      </c>
      <c r="O98" t="inlineStr">
        <is>
          <t>False</t>
        </is>
      </c>
      <c r="P98" t="n">
        <v>60</v>
      </c>
      <c r="Q98">
        <f>VLOOKUP(D98,GL_Accounts!$A$2:$E$1048576,5,FALSE)</f>
        <v/>
      </c>
      <c r="R98">
        <f>VLOOKUP(D98,GL_Accounts!$A$2:$E$1048576,4,FALSE)</f>
        <v/>
      </c>
    </row>
    <row r="99">
      <c r="A99" t="inlineStr">
        <is>
          <t>INV200098</t>
        </is>
      </c>
      <c r="B99" t="n">
        <v>39</v>
      </c>
      <c r="C99" t="inlineStr">
        <is>
          <t>V0039</t>
        </is>
      </c>
      <c r="D99" t="n">
        <v>17</v>
      </c>
      <c r="E99" t="n">
        <v>64100</v>
      </c>
      <c r="F99" t="inlineStr">
        <is>
          <t>PO100085</t>
        </is>
      </c>
      <c r="G99" t="n">
        <v>20250526</v>
      </c>
      <c r="H99" t="inlineStr">
        <is>
          <t>2025-05-26</t>
        </is>
      </c>
      <c r="I99" t="n">
        <v>20250725</v>
      </c>
      <c r="J99" t="inlineStr">
        <is>
          <t>2025-07-25</t>
        </is>
      </c>
      <c r="K99" s="9" t="n">
        <v>2560.78</v>
      </c>
      <c r="L99" t="inlineStr">
        <is>
          <t>CAD</t>
        </is>
      </c>
      <c r="M99" s="4" t="n">
        <v>1894.98</v>
      </c>
      <c r="N99" t="inlineStr">
        <is>
          <t>Paid</t>
        </is>
      </c>
      <c r="O99" t="inlineStr">
        <is>
          <t>False</t>
        </is>
      </c>
      <c r="P99" t="n">
        <v>60</v>
      </c>
      <c r="Q99">
        <f>VLOOKUP(D99,GL_Accounts!$A$2:$E$1048576,5,FALSE)</f>
        <v/>
      </c>
      <c r="R99">
        <f>VLOOKUP(D99,GL_Accounts!$A$2:$E$1048576,4,FALSE)</f>
        <v/>
      </c>
    </row>
    <row r="100">
      <c r="A100" t="inlineStr">
        <is>
          <t>INV200099</t>
        </is>
      </c>
      <c r="B100" t="n">
        <v>42</v>
      </c>
      <c r="C100" t="inlineStr">
        <is>
          <t>V0042</t>
        </is>
      </c>
      <c r="D100" t="n">
        <v>19</v>
      </c>
      <c r="E100" t="n">
        <v>64300</v>
      </c>
      <c r="F100" t="inlineStr">
        <is>
          <t>PO100086</t>
        </is>
      </c>
      <c r="G100" t="n">
        <v>20250906</v>
      </c>
      <c r="H100" t="inlineStr">
        <is>
          <t>2025-09-06</t>
        </is>
      </c>
      <c r="I100" t="n">
        <v>20251021</v>
      </c>
      <c r="J100" t="inlineStr">
        <is>
          <t>2025-10-21</t>
        </is>
      </c>
      <c r="K100" s="9" t="n">
        <v>16908.19</v>
      </c>
      <c r="L100" t="inlineStr">
        <is>
          <t>USD</t>
        </is>
      </c>
      <c r="M100" s="4" t="n">
        <v>16908.19</v>
      </c>
      <c r="N100" t="inlineStr">
        <is>
          <t>Paid</t>
        </is>
      </c>
      <c r="O100" t="inlineStr">
        <is>
          <t>False</t>
        </is>
      </c>
      <c r="P100" t="n">
        <v>45</v>
      </c>
      <c r="Q100">
        <f>VLOOKUP(D100,GL_Accounts!$A$2:$E$1048576,5,FALSE)</f>
        <v/>
      </c>
      <c r="R100">
        <f>VLOOKUP(D100,GL_Accounts!$A$2:$E$1048576,4,FALSE)</f>
        <v/>
      </c>
    </row>
    <row r="101">
      <c r="A101" t="inlineStr">
        <is>
          <t>INV200100</t>
        </is>
      </c>
      <c r="B101" t="n">
        <v>17</v>
      </c>
      <c r="C101" t="inlineStr">
        <is>
          <t>V0017</t>
        </is>
      </c>
      <c r="D101" t="n">
        <v>9</v>
      </c>
      <c r="E101" t="n">
        <v>61400</v>
      </c>
      <c r="F101" t="inlineStr">
        <is>
          <t>PO100087</t>
        </is>
      </c>
      <c r="G101" t="n">
        <v>20250704</v>
      </c>
      <c r="H101" t="inlineStr">
        <is>
          <t>2025-07-04</t>
        </is>
      </c>
      <c r="I101" t="n">
        <v>20250818</v>
      </c>
      <c r="J101" t="inlineStr">
        <is>
          <t>2025-08-18</t>
        </is>
      </c>
      <c r="K101" s="9" t="n">
        <v>2199.4</v>
      </c>
      <c r="L101" t="inlineStr">
        <is>
          <t>USD</t>
        </is>
      </c>
      <c r="M101" s="4" t="n">
        <v>2199.4</v>
      </c>
      <c r="N101" t="inlineStr">
        <is>
          <t>Paid</t>
        </is>
      </c>
      <c r="O101" t="inlineStr">
        <is>
          <t>False</t>
        </is>
      </c>
      <c r="P101" t="n">
        <v>45</v>
      </c>
      <c r="Q101">
        <f>VLOOKUP(D101,GL_Accounts!$A$2:$E$1048576,5,FALSE)</f>
        <v/>
      </c>
      <c r="R101">
        <f>VLOOKUP(D101,GL_Accounts!$A$2:$E$1048576,4,FALSE)</f>
        <v/>
      </c>
    </row>
    <row r="102">
      <c r="A102" t="inlineStr">
        <is>
          <t>INV200101</t>
        </is>
      </c>
      <c r="B102" t="n">
        <v>17</v>
      </c>
      <c r="C102" t="inlineStr">
        <is>
          <t>V0017</t>
        </is>
      </c>
      <c r="D102" t="n">
        <v>6</v>
      </c>
      <c r="E102" t="n">
        <v>61100</v>
      </c>
      <c r="F102" t="inlineStr">
        <is>
          <t>PO100087</t>
        </is>
      </c>
      <c r="G102" t="n">
        <v>20250712</v>
      </c>
      <c r="H102" t="inlineStr">
        <is>
          <t>2025-07-12</t>
        </is>
      </c>
      <c r="I102" t="n">
        <v>20250826</v>
      </c>
      <c r="J102" t="inlineStr">
        <is>
          <t>2025-08-26</t>
        </is>
      </c>
      <c r="K102" s="9" t="n">
        <v>727.23</v>
      </c>
      <c r="L102" t="inlineStr">
        <is>
          <t>USD</t>
        </is>
      </c>
      <c r="M102" s="4" t="n">
        <v>727.23</v>
      </c>
      <c r="N102" t="inlineStr">
        <is>
          <t>Paid</t>
        </is>
      </c>
      <c r="O102" t="inlineStr">
        <is>
          <t>False</t>
        </is>
      </c>
      <c r="P102" t="n">
        <v>45</v>
      </c>
      <c r="Q102">
        <f>VLOOKUP(D102,GL_Accounts!$A$2:$E$1048576,5,FALSE)</f>
        <v/>
      </c>
      <c r="R102">
        <f>VLOOKUP(D102,GL_Accounts!$A$2:$E$1048576,4,FALSE)</f>
        <v/>
      </c>
    </row>
    <row r="103">
      <c r="A103" t="inlineStr">
        <is>
          <t>INV200102</t>
        </is>
      </c>
      <c r="B103" t="n">
        <v>42</v>
      </c>
      <c r="C103" t="inlineStr">
        <is>
          <t>V0042</t>
        </is>
      </c>
      <c r="D103" t="n">
        <v>8</v>
      </c>
      <c r="E103" t="n">
        <v>61300</v>
      </c>
      <c r="F103" t="inlineStr">
        <is>
          <t>PO100088</t>
        </is>
      </c>
      <c r="G103" t="n">
        <v>20241102</v>
      </c>
      <c r="H103" t="inlineStr">
        <is>
          <t>2024-11-02</t>
        </is>
      </c>
      <c r="I103" t="n">
        <v>20241217</v>
      </c>
      <c r="J103" t="inlineStr">
        <is>
          <t>2024-12-17</t>
        </is>
      </c>
      <c r="K103" s="9" t="n">
        <v>18248.23</v>
      </c>
      <c r="L103" t="inlineStr">
        <is>
          <t>USD</t>
        </is>
      </c>
      <c r="M103" s="4" t="n">
        <v>18248.23</v>
      </c>
      <c r="N103" t="inlineStr">
        <is>
          <t>Paid</t>
        </is>
      </c>
      <c r="O103" t="inlineStr">
        <is>
          <t>False</t>
        </is>
      </c>
      <c r="P103" t="n">
        <v>45</v>
      </c>
      <c r="Q103">
        <f>VLOOKUP(D103,GL_Accounts!$A$2:$E$1048576,5,FALSE)</f>
        <v/>
      </c>
      <c r="R103">
        <f>VLOOKUP(D103,GL_Accounts!$A$2:$E$1048576,4,FALSE)</f>
        <v/>
      </c>
    </row>
    <row r="104">
      <c r="A104" t="inlineStr">
        <is>
          <t>INV200103</t>
        </is>
      </c>
      <c r="B104" t="n">
        <v>42</v>
      </c>
      <c r="C104" t="inlineStr">
        <is>
          <t>V0042</t>
        </is>
      </c>
      <c r="D104" t="n">
        <v>17</v>
      </c>
      <c r="E104" t="n">
        <v>64100</v>
      </c>
      <c r="F104" t="inlineStr">
        <is>
          <t>PO100089</t>
        </is>
      </c>
      <c r="G104" t="n">
        <v>20241216</v>
      </c>
      <c r="H104" t="inlineStr">
        <is>
          <t>2024-12-16</t>
        </is>
      </c>
      <c r="I104" t="n">
        <v>20250130</v>
      </c>
      <c r="J104" t="inlineStr">
        <is>
          <t>2025-01-30</t>
        </is>
      </c>
      <c r="K104" s="9" t="n">
        <v>4315.23</v>
      </c>
      <c r="L104" t="inlineStr">
        <is>
          <t>USD</t>
        </is>
      </c>
      <c r="M104" s="4" t="n">
        <v>4315.23</v>
      </c>
      <c r="N104" t="inlineStr">
        <is>
          <t>Unpaid</t>
        </is>
      </c>
      <c r="O104" t="inlineStr">
        <is>
          <t>False</t>
        </is>
      </c>
      <c r="P104" t="n">
        <v>45</v>
      </c>
      <c r="Q104">
        <f>VLOOKUP(D104,GL_Accounts!$A$2:$E$1048576,5,FALSE)</f>
        <v/>
      </c>
      <c r="R104">
        <f>VLOOKUP(D104,GL_Accounts!$A$2:$E$1048576,4,FALSE)</f>
        <v/>
      </c>
    </row>
    <row r="105">
      <c r="A105" t="inlineStr">
        <is>
          <t>INV200104</t>
        </is>
      </c>
      <c r="B105" t="n">
        <v>42</v>
      </c>
      <c r="C105" t="inlineStr">
        <is>
          <t>V0042</t>
        </is>
      </c>
      <c r="D105" t="n">
        <v>19</v>
      </c>
      <c r="E105" t="n">
        <v>64300</v>
      </c>
      <c r="F105" t="inlineStr">
        <is>
          <t>PO100089</t>
        </is>
      </c>
      <c r="G105" t="n">
        <v>20250107</v>
      </c>
      <c r="H105" t="inlineStr">
        <is>
          <t>2025-01-07</t>
        </is>
      </c>
      <c r="I105" t="n">
        <v>20250221</v>
      </c>
      <c r="J105" t="inlineStr">
        <is>
          <t>2025-02-21</t>
        </is>
      </c>
      <c r="K105" s="9" t="n">
        <v>1662.43</v>
      </c>
      <c r="L105" t="inlineStr">
        <is>
          <t>USD</t>
        </is>
      </c>
      <c r="M105" s="4" t="n">
        <v>1662.43</v>
      </c>
      <c r="N105" t="inlineStr">
        <is>
          <t>Paid</t>
        </is>
      </c>
      <c r="O105" t="inlineStr">
        <is>
          <t>False</t>
        </is>
      </c>
      <c r="P105" t="n">
        <v>45</v>
      </c>
      <c r="Q105">
        <f>VLOOKUP(D105,GL_Accounts!$A$2:$E$1048576,5,FALSE)</f>
        <v/>
      </c>
      <c r="R105">
        <f>VLOOKUP(D105,GL_Accounts!$A$2:$E$1048576,4,FALSE)</f>
        <v/>
      </c>
    </row>
    <row r="106">
      <c r="A106" t="inlineStr">
        <is>
          <t>INV200105</t>
        </is>
      </c>
      <c r="B106" t="n">
        <v>4</v>
      </c>
      <c r="C106" t="inlineStr">
        <is>
          <t>V0004</t>
        </is>
      </c>
      <c r="D106" t="n">
        <v>2</v>
      </c>
      <c r="E106" t="n">
        <v>60110</v>
      </c>
      <c r="F106" t="inlineStr">
        <is>
          <t>PO100090</t>
        </is>
      </c>
      <c r="G106" t="n">
        <v>20250119</v>
      </c>
      <c r="H106" t="inlineStr">
        <is>
          <t>2025-01-19</t>
        </is>
      </c>
      <c r="I106" t="n">
        <v>20250218</v>
      </c>
      <c r="J106" t="inlineStr">
        <is>
          <t>2025-02-18</t>
        </is>
      </c>
      <c r="K106" s="9" t="n">
        <v>15795.65</v>
      </c>
      <c r="L106" t="inlineStr">
        <is>
          <t>GBP</t>
        </is>
      </c>
      <c r="M106" s="4" t="n">
        <v>20060.48</v>
      </c>
      <c r="N106" t="inlineStr">
        <is>
          <t>Paid</t>
        </is>
      </c>
      <c r="O106" t="inlineStr">
        <is>
          <t>False</t>
        </is>
      </c>
      <c r="P106" t="n">
        <v>30</v>
      </c>
      <c r="Q106">
        <f>VLOOKUP(D106,GL_Accounts!$A$2:$E$1048576,5,FALSE)</f>
        <v/>
      </c>
      <c r="R106">
        <f>VLOOKUP(D106,GL_Accounts!$A$2:$E$1048576,4,FALSE)</f>
        <v/>
      </c>
    </row>
    <row r="107">
      <c r="A107" t="inlineStr">
        <is>
          <t>INV200106</t>
        </is>
      </c>
      <c r="B107" t="n">
        <v>4</v>
      </c>
      <c r="C107" t="inlineStr">
        <is>
          <t>V0004</t>
        </is>
      </c>
      <c r="D107" t="n">
        <v>2</v>
      </c>
      <c r="E107" t="n">
        <v>60110</v>
      </c>
      <c r="F107" t="inlineStr">
        <is>
          <t>PO100090</t>
        </is>
      </c>
      <c r="G107" t="n">
        <v>20250303</v>
      </c>
      <c r="H107" t="inlineStr">
        <is>
          <t>2025-03-03</t>
        </is>
      </c>
      <c r="I107" t="n">
        <v>20250402</v>
      </c>
      <c r="J107" t="inlineStr">
        <is>
          <t>2025-04-02</t>
        </is>
      </c>
      <c r="K107" s="9" t="n">
        <v>45381.75</v>
      </c>
      <c r="L107" t="inlineStr">
        <is>
          <t>GBP</t>
        </is>
      </c>
      <c r="M107" s="4" t="n">
        <v>57634.82</v>
      </c>
      <c r="N107" t="inlineStr">
        <is>
          <t>Paid</t>
        </is>
      </c>
      <c r="O107" t="inlineStr">
        <is>
          <t>False</t>
        </is>
      </c>
      <c r="P107" t="n">
        <v>30</v>
      </c>
      <c r="Q107">
        <f>VLOOKUP(D107,GL_Accounts!$A$2:$E$1048576,5,FALSE)</f>
        <v/>
      </c>
      <c r="R107">
        <f>VLOOKUP(D107,GL_Accounts!$A$2:$E$1048576,4,FALSE)</f>
        <v/>
      </c>
    </row>
    <row r="108">
      <c r="A108" t="inlineStr">
        <is>
          <t>INV200107</t>
        </is>
      </c>
      <c r="B108" t="n">
        <v>32</v>
      </c>
      <c r="C108" t="inlineStr">
        <is>
          <t>V0032</t>
        </is>
      </c>
      <c r="D108" t="n">
        <v>8</v>
      </c>
      <c r="E108" t="n">
        <v>61300</v>
      </c>
      <c r="F108" t="inlineStr">
        <is>
          <t>PO100091</t>
        </is>
      </c>
      <c r="G108" t="n">
        <v>20251220</v>
      </c>
      <c r="H108" t="inlineStr">
        <is>
          <t>2025-12-20</t>
        </is>
      </c>
      <c r="I108" t="n">
        <v>20260203</v>
      </c>
      <c r="J108" t="inlineStr">
        <is>
          <t>2026-02-03</t>
        </is>
      </c>
      <c r="K108" s="9" t="n">
        <v>5966.94</v>
      </c>
      <c r="L108" t="inlineStr">
        <is>
          <t>USD</t>
        </is>
      </c>
      <c r="M108" s="4" t="n">
        <v>5966.94</v>
      </c>
      <c r="N108" t="inlineStr">
        <is>
          <t>Paid</t>
        </is>
      </c>
      <c r="O108" t="inlineStr">
        <is>
          <t>False</t>
        </is>
      </c>
      <c r="P108" t="n">
        <v>45</v>
      </c>
      <c r="Q108">
        <f>VLOOKUP(D108,GL_Accounts!$A$2:$E$1048576,5,FALSE)</f>
        <v/>
      </c>
      <c r="R108">
        <f>VLOOKUP(D108,GL_Accounts!$A$2:$E$1048576,4,FALSE)</f>
        <v/>
      </c>
    </row>
    <row r="109">
      <c r="A109" t="inlineStr">
        <is>
          <t>INV200108</t>
        </is>
      </c>
      <c r="B109" t="n">
        <v>42</v>
      </c>
      <c r="C109" t="inlineStr">
        <is>
          <t>V0042</t>
        </is>
      </c>
      <c r="D109" t="n">
        <v>16</v>
      </c>
      <c r="E109" t="n">
        <v>63300</v>
      </c>
      <c r="F109" t="inlineStr">
        <is>
          <t>PO100092</t>
        </is>
      </c>
      <c r="G109" t="n">
        <v>20250120</v>
      </c>
      <c r="H109" t="inlineStr">
        <is>
          <t>2025-01-20</t>
        </is>
      </c>
      <c r="I109" t="n">
        <v>20250306</v>
      </c>
      <c r="J109" t="inlineStr">
        <is>
          <t>2025-03-06</t>
        </is>
      </c>
      <c r="K109" s="9" t="n">
        <v>3455.87</v>
      </c>
      <c r="L109" t="inlineStr">
        <is>
          <t>USD</t>
        </is>
      </c>
      <c r="M109" s="4" t="n">
        <v>3455.87</v>
      </c>
      <c r="N109" t="inlineStr">
        <is>
          <t>Paid</t>
        </is>
      </c>
      <c r="O109" t="inlineStr">
        <is>
          <t>False</t>
        </is>
      </c>
      <c r="P109" t="n">
        <v>45</v>
      </c>
      <c r="Q109">
        <f>VLOOKUP(D109,GL_Accounts!$A$2:$E$1048576,5,FALSE)</f>
        <v/>
      </c>
      <c r="R109">
        <f>VLOOKUP(D109,GL_Accounts!$A$2:$E$1048576,4,FALSE)</f>
        <v/>
      </c>
    </row>
    <row r="110">
      <c r="A110" t="inlineStr">
        <is>
          <t>INV200109</t>
        </is>
      </c>
      <c r="B110" t="n">
        <v>42</v>
      </c>
      <c r="C110" t="inlineStr">
        <is>
          <t>V0042</t>
        </is>
      </c>
      <c r="D110" t="n">
        <v>8</v>
      </c>
      <c r="E110" t="n">
        <v>61300</v>
      </c>
      <c r="F110" t="inlineStr">
        <is>
          <t>PO100092</t>
        </is>
      </c>
      <c r="G110" t="n">
        <v>20250204</v>
      </c>
      <c r="H110" t="inlineStr">
        <is>
          <t>2025-02-04</t>
        </is>
      </c>
      <c r="I110" t="n">
        <v>20250321</v>
      </c>
      <c r="J110" t="inlineStr">
        <is>
          <t>2025-03-21</t>
        </is>
      </c>
      <c r="K110" s="9" t="n">
        <v>3317.84</v>
      </c>
      <c r="L110" t="inlineStr">
        <is>
          <t>USD</t>
        </is>
      </c>
      <c r="M110" s="4" t="n">
        <v>3317.84</v>
      </c>
      <c r="N110" t="inlineStr">
        <is>
          <t>Paid</t>
        </is>
      </c>
      <c r="O110" t="inlineStr">
        <is>
          <t>False</t>
        </is>
      </c>
      <c r="P110" t="n">
        <v>45</v>
      </c>
      <c r="Q110">
        <f>VLOOKUP(D110,GL_Accounts!$A$2:$E$1048576,5,FALSE)</f>
        <v/>
      </c>
      <c r="R110">
        <f>VLOOKUP(D110,GL_Accounts!$A$2:$E$1048576,4,FALSE)</f>
        <v/>
      </c>
    </row>
    <row r="111">
      <c r="A111" t="inlineStr">
        <is>
          <t>INV200110</t>
        </is>
      </c>
      <c r="B111" t="n">
        <v>61</v>
      </c>
      <c r="C111" t="inlineStr">
        <is>
          <t>V0008</t>
        </is>
      </c>
      <c r="D111" t="n">
        <v>14</v>
      </c>
      <c r="E111" t="n">
        <v>63100</v>
      </c>
      <c r="F111" t="inlineStr">
        <is>
          <t>PO100093</t>
        </is>
      </c>
      <c r="G111" t="n">
        <v>20260109</v>
      </c>
      <c r="H111" t="inlineStr">
        <is>
          <t>2026-01-09</t>
        </is>
      </c>
      <c r="I111" t="n">
        <v>20260124</v>
      </c>
      <c r="J111" t="inlineStr">
        <is>
          <t>2026-01-24</t>
        </is>
      </c>
      <c r="K111" s="9" t="n">
        <v>513.01</v>
      </c>
      <c r="L111" t="inlineStr">
        <is>
          <t>EUR</t>
        </is>
      </c>
      <c r="M111" s="4" t="n">
        <v>554.05</v>
      </c>
      <c r="N111" t="inlineStr">
        <is>
          <t>Paid</t>
        </is>
      </c>
      <c r="O111" t="inlineStr">
        <is>
          <t>False</t>
        </is>
      </c>
      <c r="P111" t="n">
        <v>15</v>
      </c>
      <c r="Q111">
        <f>VLOOKUP(D111,GL_Accounts!$A$2:$E$1048576,5,FALSE)</f>
        <v/>
      </c>
      <c r="R111">
        <f>VLOOKUP(D111,GL_Accounts!$A$2:$E$1048576,4,FALSE)</f>
        <v/>
      </c>
    </row>
    <row r="112">
      <c r="A112" t="inlineStr">
        <is>
          <t>INV200111</t>
        </is>
      </c>
      <c r="B112" t="n">
        <v>49</v>
      </c>
      <c r="C112" t="inlineStr">
        <is>
          <t>V0049</t>
        </is>
      </c>
      <c r="D112" t="n">
        <v>6</v>
      </c>
      <c r="E112" t="n">
        <v>61100</v>
      </c>
      <c r="F112" t="inlineStr">
        <is>
          <t>PO100094</t>
        </is>
      </c>
      <c r="G112" t="n">
        <v>20260215</v>
      </c>
      <c r="H112" t="inlineStr">
        <is>
          <t>2026-02-15</t>
        </is>
      </c>
      <c r="I112" t="n">
        <v>20260317</v>
      </c>
      <c r="J112" t="inlineStr">
        <is>
          <t>2026-03-17</t>
        </is>
      </c>
      <c r="K112" s="9" t="n">
        <v>2984.12</v>
      </c>
      <c r="L112" t="inlineStr">
        <is>
          <t>USD</t>
        </is>
      </c>
      <c r="M112" s="4" t="n">
        <v>2984.12</v>
      </c>
      <c r="N112" t="inlineStr">
        <is>
          <t>Paid</t>
        </is>
      </c>
      <c r="O112" t="inlineStr">
        <is>
          <t>False</t>
        </is>
      </c>
      <c r="P112" t="n">
        <v>30</v>
      </c>
      <c r="Q112">
        <f>VLOOKUP(D112,GL_Accounts!$A$2:$E$1048576,5,FALSE)</f>
        <v/>
      </c>
      <c r="R112">
        <f>VLOOKUP(D112,GL_Accounts!$A$2:$E$1048576,4,FALSE)</f>
        <v/>
      </c>
    </row>
    <row r="113">
      <c r="A113" t="inlineStr">
        <is>
          <t>INV200112</t>
        </is>
      </c>
      <c r="B113" t="n">
        <v>4</v>
      </c>
      <c r="C113" t="inlineStr">
        <is>
          <t>V0004</t>
        </is>
      </c>
      <c r="D113" t="n">
        <v>1</v>
      </c>
      <c r="E113" t="n">
        <v>60100</v>
      </c>
      <c r="F113" t="inlineStr">
        <is>
          <t>PO100095</t>
        </is>
      </c>
      <c r="G113" t="n">
        <v>20250924</v>
      </c>
      <c r="H113" t="inlineStr">
        <is>
          <t>2025-09-24</t>
        </is>
      </c>
      <c r="I113" t="n">
        <v>20251024</v>
      </c>
      <c r="J113" t="inlineStr">
        <is>
          <t>2025-10-24</t>
        </is>
      </c>
      <c r="K113" s="9" t="n">
        <v>7764.44</v>
      </c>
      <c r="L113" t="inlineStr">
        <is>
          <t>GBP</t>
        </is>
      </c>
      <c r="M113" s="4" t="n">
        <v>9860.84</v>
      </c>
      <c r="N113" t="inlineStr">
        <is>
          <t>Paid</t>
        </is>
      </c>
      <c r="O113" t="inlineStr">
        <is>
          <t>False</t>
        </is>
      </c>
      <c r="P113" t="n">
        <v>30</v>
      </c>
      <c r="Q113">
        <f>VLOOKUP(D113,GL_Accounts!$A$2:$E$1048576,5,FALSE)</f>
        <v/>
      </c>
      <c r="R113">
        <f>VLOOKUP(D113,GL_Accounts!$A$2:$E$1048576,4,FALSE)</f>
        <v/>
      </c>
    </row>
    <row r="114">
      <c r="A114" t="inlineStr">
        <is>
          <t>INV200113</t>
        </is>
      </c>
      <c r="B114" t="n">
        <v>32</v>
      </c>
      <c r="C114" t="inlineStr">
        <is>
          <t>V0032</t>
        </is>
      </c>
      <c r="D114" t="n">
        <v>7</v>
      </c>
      <c r="E114" t="n">
        <v>61200</v>
      </c>
      <c r="F114" t="inlineStr">
        <is>
          <t>PO100096</t>
        </is>
      </c>
      <c r="G114" t="n">
        <v>20260811</v>
      </c>
      <c r="H114" t="inlineStr">
        <is>
          <t>2026-08-11</t>
        </is>
      </c>
      <c r="I114" t="n">
        <v>20260925</v>
      </c>
      <c r="J114" t="inlineStr">
        <is>
          <t>2026-09-25</t>
        </is>
      </c>
      <c r="K114" s="9" t="n">
        <v>6751.14</v>
      </c>
      <c r="L114" t="inlineStr">
        <is>
          <t>USD</t>
        </is>
      </c>
      <c r="M114" s="4" t="n">
        <v>6751.14</v>
      </c>
      <c r="N114" t="inlineStr">
        <is>
          <t>Unpaid</t>
        </is>
      </c>
      <c r="O114" t="inlineStr">
        <is>
          <t>False</t>
        </is>
      </c>
      <c r="P114" t="n">
        <v>45</v>
      </c>
      <c r="Q114">
        <f>VLOOKUP(D114,GL_Accounts!$A$2:$E$1048576,5,FALSE)</f>
        <v/>
      </c>
      <c r="R114">
        <f>VLOOKUP(D114,GL_Accounts!$A$2:$E$1048576,4,FALSE)</f>
        <v/>
      </c>
    </row>
    <row r="115">
      <c r="A115" t="inlineStr">
        <is>
          <t>INV200114</t>
        </is>
      </c>
      <c r="B115" t="n">
        <v>28</v>
      </c>
      <c r="C115" t="inlineStr">
        <is>
          <t>V0028</t>
        </is>
      </c>
      <c r="D115" t="n">
        <v>19</v>
      </c>
      <c r="E115" t="n">
        <v>64300</v>
      </c>
      <c r="F115" t="inlineStr">
        <is>
          <t>PO100097</t>
        </is>
      </c>
      <c r="G115" t="n">
        <v>20260302</v>
      </c>
      <c r="H115" t="inlineStr">
        <is>
          <t>2026-03-02</t>
        </is>
      </c>
      <c r="I115" t="n">
        <v>20260501</v>
      </c>
      <c r="J115" t="inlineStr">
        <is>
          <t>2026-05-01</t>
        </is>
      </c>
      <c r="K115" s="9" t="n">
        <v>11030.54</v>
      </c>
      <c r="L115" t="inlineStr">
        <is>
          <t>USD</t>
        </is>
      </c>
      <c r="M115" s="4" t="n">
        <v>11030.54</v>
      </c>
      <c r="N115" t="inlineStr">
        <is>
          <t>Paid</t>
        </is>
      </c>
      <c r="O115" t="inlineStr">
        <is>
          <t>False</t>
        </is>
      </c>
      <c r="P115" t="n">
        <v>60</v>
      </c>
      <c r="Q115">
        <f>VLOOKUP(D115,GL_Accounts!$A$2:$E$1048576,5,FALSE)</f>
        <v/>
      </c>
      <c r="R115">
        <f>VLOOKUP(D115,GL_Accounts!$A$2:$E$1048576,4,FALSE)</f>
        <v/>
      </c>
    </row>
    <row r="116">
      <c r="A116" t="inlineStr">
        <is>
          <t>INV200115</t>
        </is>
      </c>
      <c r="B116" t="n">
        <v>28</v>
      </c>
      <c r="C116" t="inlineStr">
        <is>
          <t>V0028</t>
        </is>
      </c>
      <c r="D116" t="n">
        <v>8</v>
      </c>
      <c r="E116" t="n">
        <v>61300</v>
      </c>
      <c r="F116" t="inlineStr">
        <is>
          <t>PO100097</t>
        </is>
      </c>
      <c r="G116" t="n">
        <v>20260411</v>
      </c>
      <c r="H116" t="inlineStr">
        <is>
          <t>2026-04-11</t>
        </is>
      </c>
      <c r="I116" t="n">
        <v>20260610</v>
      </c>
      <c r="J116" t="inlineStr">
        <is>
          <t>2026-06-10</t>
        </is>
      </c>
      <c r="K116" s="9" t="n">
        <v>8502.610000000001</v>
      </c>
      <c r="L116" t="inlineStr">
        <is>
          <t>USD</t>
        </is>
      </c>
      <c r="M116" s="4" t="n">
        <v>8502.610000000001</v>
      </c>
      <c r="N116" t="inlineStr">
        <is>
          <t>Paid</t>
        </is>
      </c>
      <c r="O116" t="inlineStr">
        <is>
          <t>False</t>
        </is>
      </c>
      <c r="P116" t="n">
        <v>60</v>
      </c>
      <c r="Q116">
        <f>VLOOKUP(D116,GL_Accounts!$A$2:$E$1048576,5,FALSE)</f>
        <v/>
      </c>
      <c r="R116">
        <f>VLOOKUP(D116,GL_Accounts!$A$2:$E$1048576,4,FALSE)</f>
        <v/>
      </c>
    </row>
    <row r="117">
      <c r="A117" t="inlineStr">
        <is>
          <t>INV200116</t>
        </is>
      </c>
      <c r="B117" t="n">
        <v>43</v>
      </c>
      <c r="C117" t="inlineStr">
        <is>
          <t>V0043</t>
        </is>
      </c>
      <c r="D117" t="n">
        <v>9</v>
      </c>
      <c r="E117" t="n">
        <v>61400</v>
      </c>
      <c r="F117" t="inlineStr">
        <is>
          <t>PO100098</t>
        </is>
      </c>
      <c r="G117" t="n">
        <v>20250308</v>
      </c>
      <c r="H117" t="inlineStr">
        <is>
          <t>2025-03-08</t>
        </is>
      </c>
      <c r="I117" t="n">
        <v>20250407</v>
      </c>
      <c r="J117" t="inlineStr">
        <is>
          <t>2025-04-07</t>
        </is>
      </c>
      <c r="K117" s="9" t="n">
        <v>3989.44</v>
      </c>
      <c r="L117" t="inlineStr">
        <is>
          <t>USD</t>
        </is>
      </c>
      <c r="M117" s="4" t="n">
        <v>3989.44</v>
      </c>
      <c r="N117" t="inlineStr">
        <is>
          <t>Paid</t>
        </is>
      </c>
      <c r="O117" t="inlineStr">
        <is>
          <t>False</t>
        </is>
      </c>
      <c r="P117" t="n">
        <v>30</v>
      </c>
      <c r="Q117">
        <f>VLOOKUP(D117,GL_Accounts!$A$2:$E$1048576,5,FALSE)</f>
        <v/>
      </c>
      <c r="R117">
        <f>VLOOKUP(D117,GL_Accounts!$A$2:$E$1048576,4,FALSE)</f>
        <v/>
      </c>
    </row>
    <row r="118">
      <c r="A118" t="inlineStr">
        <is>
          <t>INV200117</t>
        </is>
      </c>
      <c r="B118" t="n">
        <v>40</v>
      </c>
      <c r="C118" t="inlineStr">
        <is>
          <t>V0040</t>
        </is>
      </c>
      <c r="D118" t="n">
        <v>12</v>
      </c>
      <c r="E118" t="n">
        <v>62300</v>
      </c>
      <c r="F118" t="inlineStr">
        <is>
          <t>PO100099</t>
        </is>
      </c>
      <c r="G118" t="n">
        <v>20260618</v>
      </c>
      <c r="H118" t="inlineStr">
        <is>
          <t>2026-06-18</t>
        </is>
      </c>
      <c r="I118" t="n">
        <v>20260718</v>
      </c>
      <c r="J118" t="inlineStr">
        <is>
          <t>2026-07-18</t>
        </is>
      </c>
      <c r="K118" s="9" t="n">
        <v>2013.23</v>
      </c>
      <c r="L118" t="inlineStr">
        <is>
          <t>USD</t>
        </is>
      </c>
      <c r="M118" s="4" t="n">
        <v>2013.23</v>
      </c>
      <c r="N118" t="inlineStr">
        <is>
          <t>Unpaid</t>
        </is>
      </c>
      <c r="O118" t="inlineStr">
        <is>
          <t>False</t>
        </is>
      </c>
      <c r="P118" t="n">
        <v>30</v>
      </c>
      <c r="Q118">
        <f>VLOOKUP(D118,GL_Accounts!$A$2:$E$1048576,5,FALSE)</f>
        <v/>
      </c>
      <c r="R118">
        <f>VLOOKUP(D118,GL_Accounts!$A$2:$E$1048576,4,FALSE)</f>
        <v/>
      </c>
    </row>
    <row r="119">
      <c r="A119" t="inlineStr">
        <is>
          <t>INV200118</t>
        </is>
      </c>
      <c r="B119" t="n">
        <v>40</v>
      </c>
      <c r="C119" t="inlineStr">
        <is>
          <t>V0040</t>
        </is>
      </c>
      <c r="D119" t="n">
        <v>12</v>
      </c>
      <c r="E119" t="n">
        <v>62300</v>
      </c>
      <c r="F119" t="inlineStr">
        <is>
          <t>PO100099</t>
        </is>
      </c>
      <c r="G119" t="n">
        <v>20260703</v>
      </c>
      <c r="H119" t="inlineStr">
        <is>
          <t>2026-07-03</t>
        </is>
      </c>
      <c r="I119" t="n">
        <v>20260802</v>
      </c>
      <c r="J119" t="inlineStr">
        <is>
          <t>2026-08-02</t>
        </is>
      </c>
      <c r="K119" s="9" t="n">
        <v>1783.23</v>
      </c>
      <c r="L119" t="inlineStr">
        <is>
          <t>USD</t>
        </is>
      </c>
      <c r="M119" s="4" t="n">
        <v>1783.23</v>
      </c>
      <c r="N119" t="inlineStr">
        <is>
          <t>Unpaid</t>
        </is>
      </c>
      <c r="O119" t="inlineStr">
        <is>
          <t>False</t>
        </is>
      </c>
      <c r="P119" t="n">
        <v>30</v>
      </c>
      <c r="Q119">
        <f>VLOOKUP(D119,GL_Accounts!$A$2:$E$1048576,5,FALSE)</f>
        <v/>
      </c>
      <c r="R119">
        <f>VLOOKUP(D119,GL_Accounts!$A$2:$E$1048576,4,FALSE)</f>
        <v/>
      </c>
    </row>
    <row r="120">
      <c r="A120" t="inlineStr">
        <is>
          <t>INV200119</t>
        </is>
      </c>
      <c r="B120" t="n">
        <v>42</v>
      </c>
      <c r="C120" t="inlineStr">
        <is>
          <t>V0042</t>
        </is>
      </c>
      <c r="D120" t="n">
        <v>8</v>
      </c>
      <c r="E120" t="n">
        <v>61300</v>
      </c>
      <c r="F120" t="inlineStr">
        <is>
          <t>PO100100</t>
        </is>
      </c>
      <c r="G120" t="n">
        <v>20260608</v>
      </c>
      <c r="H120" t="inlineStr">
        <is>
          <t>2026-06-08</t>
        </is>
      </c>
      <c r="I120" t="n">
        <v>20260723</v>
      </c>
      <c r="J120" t="inlineStr">
        <is>
          <t>2026-07-23</t>
        </is>
      </c>
      <c r="K120" s="9" t="n">
        <v>32334.08</v>
      </c>
      <c r="L120" t="inlineStr">
        <is>
          <t>USD</t>
        </is>
      </c>
      <c r="M120" s="4" t="n">
        <v>32334.08</v>
      </c>
      <c r="N120" t="inlineStr">
        <is>
          <t>Paid</t>
        </is>
      </c>
      <c r="O120" t="inlineStr">
        <is>
          <t>False</t>
        </is>
      </c>
      <c r="P120" t="n">
        <v>45</v>
      </c>
      <c r="Q120">
        <f>VLOOKUP(D120,GL_Accounts!$A$2:$E$1048576,5,FALSE)</f>
        <v/>
      </c>
      <c r="R120">
        <f>VLOOKUP(D120,GL_Accounts!$A$2:$E$1048576,4,FALSE)</f>
        <v/>
      </c>
    </row>
    <row r="121">
      <c r="A121" t="inlineStr">
        <is>
          <t>INV200120</t>
        </is>
      </c>
      <c r="B121" t="n">
        <v>45</v>
      </c>
      <c r="C121" t="inlineStr">
        <is>
          <t>V0045</t>
        </is>
      </c>
      <c r="D121" t="n">
        <v>7</v>
      </c>
      <c r="E121" t="n">
        <v>61200</v>
      </c>
      <c r="F121" t="inlineStr">
        <is>
          <t>PO100101</t>
        </is>
      </c>
      <c r="G121" t="n">
        <v>20250615</v>
      </c>
      <c r="H121" t="inlineStr">
        <is>
          <t>2025-06-15</t>
        </is>
      </c>
      <c r="I121" t="n">
        <v>20250730</v>
      </c>
      <c r="J121" t="inlineStr">
        <is>
          <t>2025-07-30</t>
        </is>
      </c>
      <c r="K121" s="9" t="n">
        <v>10973.36</v>
      </c>
      <c r="L121" t="inlineStr">
        <is>
          <t>USD</t>
        </is>
      </c>
      <c r="M121" s="4" t="n">
        <v>10973.36</v>
      </c>
      <c r="N121" t="inlineStr">
        <is>
          <t>Paid</t>
        </is>
      </c>
      <c r="O121" t="inlineStr">
        <is>
          <t>False</t>
        </is>
      </c>
      <c r="P121" t="n">
        <v>45</v>
      </c>
      <c r="Q121">
        <f>VLOOKUP(D121,GL_Accounts!$A$2:$E$1048576,5,FALSE)</f>
        <v/>
      </c>
      <c r="R121">
        <f>VLOOKUP(D121,GL_Accounts!$A$2:$E$1048576,4,FALSE)</f>
        <v/>
      </c>
    </row>
    <row r="122">
      <c r="A122" t="inlineStr">
        <is>
          <t>INV200121</t>
        </is>
      </c>
      <c r="B122" t="n">
        <v>45</v>
      </c>
      <c r="C122" t="inlineStr">
        <is>
          <t>V0045</t>
        </is>
      </c>
      <c r="D122" t="n">
        <v>8</v>
      </c>
      <c r="E122" t="n">
        <v>61300</v>
      </c>
      <c r="F122" t="inlineStr">
        <is>
          <t>PO100101</t>
        </is>
      </c>
      <c r="G122" t="n">
        <v>20250627</v>
      </c>
      <c r="H122" t="inlineStr">
        <is>
          <t>2025-06-27</t>
        </is>
      </c>
      <c r="I122" t="n">
        <v>20250811</v>
      </c>
      <c r="J122" t="inlineStr">
        <is>
          <t>2025-08-11</t>
        </is>
      </c>
      <c r="K122" s="9" t="n">
        <v>722.72</v>
      </c>
      <c r="L122" t="inlineStr">
        <is>
          <t>USD</t>
        </is>
      </c>
      <c r="M122" s="4" t="n">
        <v>722.72</v>
      </c>
      <c r="N122" t="inlineStr">
        <is>
          <t>Paid</t>
        </is>
      </c>
      <c r="O122" t="inlineStr">
        <is>
          <t>False</t>
        </is>
      </c>
      <c r="P122" t="n">
        <v>45</v>
      </c>
      <c r="Q122">
        <f>VLOOKUP(D122,GL_Accounts!$A$2:$E$1048576,5,FALSE)</f>
        <v/>
      </c>
      <c r="R122">
        <f>VLOOKUP(D122,GL_Accounts!$A$2:$E$1048576,4,FALSE)</f>
        <v/>
      </c>
    </row>
    <row r="123">
      <c r="A123" t="inlineStr">
        <is>
          <t>INV200122</t>
        </is>
      </c>
      <c r="B123" t="n">
        <v>45</v>
      </c>
      <c r="C123" t="inlineStr">
        <is>
          <t>V0045</t>
        </is>
      </c>
      <c r="D123" t="n">
        <v>6</v>
      </c>
      <c r="E123" t="n">
        <v>61100</v>
      </c>
      <c r="F123" t="inlineStr">
        <is>
          <t>PO100101</t>
        </is>
      </c>
      <c r="G123" t="n">
        <v>20250816</v>
      </c>
      <c r="H123" t="inlineStr">
        <is>
          <t>2025-08-16</t>
        </is>
      </c>
      <c r="I123" t="n">
        <v>20250930</v>
      </c>
      <c r="J123" t="inlineStr">
        <is>
          <t>2025-09-30</t>
        </is>
      </c>
      <c r="K123" s="9" t="n">
        <v>8371.860000000001</v>
      </c>
      <c r="L123" t="inlineStr">
        <is>
          <t>USD</t>
        </is>
      </c>
      <c r="M123" s="4" t="n">
        <v>8371.860000000001</v>
      </c>
      <c r="N123" t="inlineStr">
        <is>
          <t>Paid</t>
        </is>
      </c>
      <c r="O123" t="inlineStr">
        <is>
          <t>False</t>
        </is>
      </c>
      <c r="P123" t="n">
        <v>45</v>
      </c>
      <c r="Q123">
        <f>VLOOKUP(D123,GL_Accounts!$A$2:$E$1048576,5,FALSE)</f>
        <v/>
      </c>
      <c r="R123">
        <f>VLOOKUP(D123,GL_Accounts!$A$2:$E$1048576,4,FALSE)</f>
        <v/>
      </c>
    </row>
    <row r="124">
      <c r="A124" t="inlineStr">
        <is>
          <t>INV200123</t>
        </is>
      </c>
      <c r="B124" t="n">
        <v>18</v>
      </c>
      <c r="C124" t="inlineStr">
        <is>
          <t>V0018</t>
        </is>
      </c>
      <c r="D124" t="n">
        <v>10</v>
      </c>
      <c r="E124" t="n">
        <v>62100</v>
      </c>
      <c r="F124" t="inlineStr">
        <is>
          <t>PO100102</t>
        </is>
      </c>
      <c r="G124" t="n">
        <v>20260204</v>
      </c>
      <c r="H124" t="inlineStr">
        <is>
          <t>2026-02-04</t>
        </is>
      </c>
      <c r="I124" t="n">
        <v>20260306</v>
      </c>
      <c r="J124" t="inlineStr">
        <is>
          <t>2026-03-06</t>
        </is>
      </c>
      <c r="K124" s="9" t="n">
        <v>12196.53</v>
      </c>
      <c r="L124" t="inlineStr">
        <is>
          <t>USD</t>
        </is>
      </c>
      <c r="M124" s="4" t="n">
        <v>12196.53</v>
      </c>
      <c r="N124" t="inlineStr">
        <is>
          <t>Paid</t>
        </is>
      </c>
      <c r="O124" t="inlineStr">
        <is>
          <t>False</t>
        </is>
      </c>
      <c r="P124" t="n">
        <v>30</v>
      </c>
      <c r="Q124">
        <f>VLOOKUP(D124,GL_Accounts!$A$2:$E$1048576,5,FALSE)</f>
        <v/>
      </c>
      <c r="R124">
        <f>VLOOKUP(D124,GL_Accounts!$A$2:$E$1048576,4,FALSE)</f>
        <v/>
      </c>
    </row>
    <row r="125">
      <c r="A125" t="inlineStr">
        <is>
          <t>INV200124</t>
        </is>
      </c>
      <c r="B125" t="n">
        <v>35</v>
      </c>
      <c r="C125" t="inlineStr">
        <is>
          <t>V0035</t>
        </is>
      </c>
      <c r="D125" t="n">
        <v>8</v>
      </c>
      <c r="E125" t="n">
        <v>61300</v>
      </c>
      <c r="F125" t="inlineStr">
        <is>
          <t>PO100103</t>
        </is>
      </c>
      <c r="G125" t="n">
        <v>20250220</v>
      </c>
      <c r="H125" t="inlineStr">
        <is>
          <t>2025-02-20</t>
        </is>
      </c>
      <c r="I125" t="n">
        <v>20250322</v>
      </c>
      <c r="J125" t="inlineStr">
        <is>
          <t>2025-03-22</t>
        </is>
      </c>
      <c r="K125" s="9" t="n">
        <v>13189</v>
      </c>
      <c r="L125" t="inlineStr">
        <is>
          <t>GBP</t>
        </is>
      </c>
      <c r="M125" s="4" t="n">
        <v>16750.03</v>
      </c>
      <c r="N125" t="inlineStr">
        <is>
          <t>Paid</t>
        </is>
      </c>
      <c r="O125" t="inlineStr">
        <is>
          <t>False</t>
        </is>
      </c>
      <c r="P125" t="n">
        <v>30</v>
      </c>
      <c r="Q125">
        <f>VLOOKUP(D125,GL_Accounts!$A$2:$E$1048576,5,FALSE)</f>
        <v/>
      </c>
      <c r="R125">
        <f>VLOOKUP(D125,GL_Accounts!$A$2:$E$1048576,4,FALSE)</f>
        <v/>
      </c>
    </row>
    <row r="126">
      <c r="A126" t="inlineStr">
        <is>
          <t>INV200125</t>
        </is>
      </c>
      <c r="B126" t="n">
        <v>38</v>
      </c>
      <c r="C126" t="inlineStr">
        <is>
          <t>V0038</t>
        </is>
      </c>
      <c r="D126" t="n">
        <v>6</v>
      </c>
      <c r="E126" t="n">
        <v>61100</v>
      </c>
      <c r="F126" t="inlineStr">
        <is>
          <t>PO100104</t>
        </is>
      </c>
      <c r="G126" t="n">
        <v>20251011</v>
      </c>
      <c r="H126" t="inlineStr">
        <is>
          <t>2025-10-11</t>
        </is>
      </c>
      <c r="I126" t="n">
        <v>20251125</v>
      </c>
      <c r="J126" t="inlineStr">
        <is>
          <t>2025-11-25</t>
        </is>
      </c>
      <c r="K126" s="9" t="n">
        <v>7155.31</v>
      </c>
      <c r="L126" t="inlineStr">
        <is>
          <t>USD</t>
        </is>
      </c>
      <c r="M126" s="4" t="n">
        <v>7155.31</v>
      </c>
      <c r="N126" t="inlineStr">
        <is>
          <t>Paid</t>
        </is>
      </c>
      <c r="O126" t="inlineStr">
        <is>
          <t>False</t>
        </is>
      </c>
      <c r="P126" t="n">
        <v>45</v>
      </c>
      <c r="Q126">
        <f>VLOOKUP(D126,GL_Accounts!$A$2:$E$1048576,5,FALSE)</f>
        <v/>
      </c>
      <c r="R126">
        <f>VLOOKUP(D126,GL_Accounts!$A$2:$E$1048576,4,FALSE)</f>
        <v/>
      </c>
    </row>
    <row r="127">
      <c r="A127" t="inlineStr">
        <is>
          <t>INV200126</t>
        </is>
      </c>
      <c r="B127" t="n">
        <v>60</v>
      </c>
      <c r="C127" t="inlineStr">
        <is>
          <t>V0001</t>
        </is>
      </c>
      <c r="D127" t="n">
        <v>1</v>
      </c>
      <c r="E127" t="n">
        <v>60100</v>
      </c>
      <c r="F127" t="inlineStr">
        <is>
          <t>PO100105</t>
        </is>
      </c>
      <c r="G127" t="n">
        <v>20260812</v>
      </c>
      <c r="H127" t="inlineStr">
        <is>
          <t>2026-08-12</t>
        </is>
      </c>
      <c r="I127" t="n">
        <v>20260926</v>
      </c>
      <c r="J127" t="inlineStr">
        <is>
          <t>2026-09-26</t>
        </is>
      </c>
      <c r="K127" s="9" t="n">
        <v>7731.38</v>
      </c>
      <c r="L127" t="inlineStr">
        <is>
          <t>USD</t>
        </is>
      </c>
      <c r="M127" s="4" t="n">
        <v>7731.38</v>
      </c>
      <c r="N127" t="inlineStr">
        <is>
          <t>Unpaid</t>
        </is>
      </c>
      <c r="O127" t="inlineStr">
        <is>
          <t>False</t>
        </is>
      </c>
      <c r="P127" t="n">
        <v>45</v>
      </c>
      <c r="Q127">
        <f>VLOOKUP(D127,GL_Accounts!$A$2:$E$1048576,5,FALSE)</f>
        <v/>
      </c>
      <c r="R127">
        <f>VLOOKUP(D127,GL_Accounts!$A$2:$E$1048576,4,FALSE)</f>
        <v/>
      </c>
    </row>
    <row r="128">
      <c r="A128" t="inlineStr">
        <is>
          <t>INV200127</t>
        </is>
      </c>
      <c r="B128" t="n">
        <v>48</v>
      </c>
      <c r="C128" t="inlineStr">
        <is>
          <t>V0048</t>
        </is>
      </c>
      <c r="D128" t="n">
        <v>3</v>
      </c>
      <c r="E128" t="n">
        <v>60120</v>
      </c>
      <c r="F128" t="inlineStr">
        <is>
          <t>PO100106</t>
        </is>
      </c>
      <c r="G128" t="n">
        <v>20251224</v>
      </c>
      <c r="H128" t="inlineStr">
        <is>
          <t>2025-12-24</t>
        </is>
      </c>
      <c r="I128" t="n">
        <v>20260207</v>
      </c>
      <c r="J128" t="inlineStr">
        <is>
          <t>2026-02-07</t>
        </is>
      </c>
      <c r="K128" s="9" t="n">
        <v>10248</v>
      </c>
      <c r="L128" t="inlineStr">
        <is>
          <t>USD</t>
        </is>
      </c>
      <c r="M128" s="4" t="n">
        <v>10248</v>
      </c>
      <c r="N128" t="inlineStr">
        <is>
          <t>Paid</t>
        </is>
      </c>
      <c r="O128" t="inlineStr">
        <is>
          <t>False</t>
        </is>
      </c>
      <c r="P128" t="n">
        <v>45</v>
      </c>
      <c r="Q128">
        <f>VLOOKUP(D128,GL_Accounts!$A$2:$E$1048576,5,FALSE)</f>
        <v/>
      </c>
      <c r="R128">
        <f>VLOOKUP(D128,GL_Accounts!$A$2:$E$1048576,4,FALSE)</f>
        <v/>
      </c>
    </row>
    <row r="129">
      <c r="A129" t="inlineStr">
        <is>
          <t>INV200128</t>
        </is>
      </c>
      <c r="B129" t="n">
        <v>48</v>
      </c>
      <c r="C129" t="inlineStr">
        <is>
          <t>V0048</t>
        </is>
      </c>
      <c r="D129" t="n">
        <v>3</v>
      </c>
      <c r="E129" t="n">
        <v>60120</v>
      </c>
      <c r="F129" t="inlineStr">
        <is>
          <t>PO100106</t>
        </is>
      </c>
      <c r="G129" t="n">
        <v>20260116</v>
      </c>
      <c r="H129" t="inlineStr">
        <is>
          <t>2026-01-16</t>
        </is>
      </c>
      <c r="I129" t="n">
        <v>20260302</v>
      </c>
      <c r="J129" t="inlineStr">
        <is>
          <t>2026-03-02</t>
        </is>
      </c>
      <c r="K129" s="9" t="n">
        <v>5453.19</v>
      </c>
      <c r="L129" t="inlineStr">
        <is>
          <t>USD</t>
        </is>
      </c>
      <c r="M129" s="4" t="n">
        <v>5453.19</v>
      </c>
      <c r="N129" t="inlineStr">
        <is>
          <t>Paid</t>
        </is>
      </c>
      <c r="O129" t="inlineStr">
        <is>
          <t>False</t>
        </is>
      </c>
      <c r="P129" t="n">
        <v>45</v>
      </c>
      <c r="Q129">
        <f>VLOOKUP(D129,GL_Accounts!$A$2:$E$1048576,5,FALSE)</f>
        <v/>
      </c>
      <c r="R129">
        <f>VLOOKUP(D129,GL_Accounts!$A$2:$E$1048576,4,FALSE)</f>
        <v/>
      </c>
    </row>
    <row r="130">
      <c r="A130" t="inlineStr">
        <is>
          <t>INV200129</t>
        </is>
      </c>
      <c r="B130" t="n">
        <v>48</v>
      </c>
      <c r="C130" t="inlineStr">
        <is>
          <t>V0048</t>
        </is>
      </c>
      <c r="D130" t="n">
        <v>1</v>
      </c>
      <c r="E130" t="n">
        <v>60100</v>
      </c>
      <c r="F130" t="inlineStr">
        <is>
          <t>PO100106</t>
        </is>
      </c>
      <c r="G130" t="n">
        <v>20260119</v>
      </c>
      <c r="H130" t="inlineStr">
        <is>
          <t>2026-01-19</t>
        </is>
      </c>
      <c r="I130" t="n">
        <v>20260305</v>
      </c>
      <c r="J130" t="inlineStr">
        <is>
          <t>2026-03-05</t>
        </is>
      </c>
      <c r="K130" s="9" t="n">
        <v>19731.61</v>
      </c>
      <c r="L130" t="inlineStr">
        <is>
          <t>USD</t>
        </is>
      </c>
      <c r="M130" s="4" t="n">
        <v>19731.61</v>
      </c>
      <c r="N130" t="inlineStr">
        <is>
          <t>Paid</t>
        </is>
      </c>
      <c r="O130" t="inlineStr">
        <is>
          <t>False</t>
        </is>
      </c>
      <c r="P130" t="n">
        <v>45</v>
      </c>
      <c r="Q130">
        <f>VLOOKUP(D130,GL_Accounts!$A$2:$E$1048576,5,FALSE)</f>
        <v/>
      </c>
      <c r="R130">
        <f>VLOOKUP(D130,GL_Accounts!$A$2:$E$1048576,4,FALSE)</f>
        <v/>
      </c>
    </row>
    <row r="131">
      <c r="A131" t="inlineStr">
        <is>
          <t>INV200130</t>
        </is>
      </c>
      <c r="B131" t="n">
        <v>32</v>
      </c>
      <c r="C131" t="inlineStr">
        <is>
          <t>V0032</t>
        </is>
      </c>
      <c r="D131" t="n">
        <v>7</v>
      </c>
      <c r="E131" t="n">
        <v>61200</v>
      </c>
      <c r="F131" t="inlineStr">
        <is>
          <t>PO100108</t>
        </is>
      </c>
      <c r="G131" t="n">
        <v>20260127</v>
      </c>
      <c r="H131" t="inlineStr">
        <is>
          <t>2026-01-27</t>
        </is>
      </c>
      <c r="I131" t="n">
        <v>20260313</v>
      </c>
      <c r="J131" t="inlineStr">
        <is>
          <t>2026-03-13</t>
        </is>
      </c>
      <c r="K131" s="9" t="n">
        <v>16599.48</v>
      </c>
      <c r="L131" t="inlineStr">
        <is>
          <t>USD</t>
        </is>
      </c>
      <c r="M131" s="4" t="n">
        <v>16599.48</v>
      </c>
      <c r="N131" t="inlineStr">
        <is>
          <t>Unpaid</t>
        </is>
      </c>
      <c r="O131" t="inlineStr">
        <is>
          <t>False</t>
        </is>
      </c>
      <c r="P131" t="n">
        <v>45</v>
      </c>
      <c r="Q131">
        <f>VLOOKUP(D131,GL_Accounts!$A$2:$E$1048576,5,FALSE)</f>
        <v/>
      </c>
      <c r="R131">
        <f>VLOOKUP(D131,GL_Accounts!$A$2:$E$1048576,4,FALSE)</f>
        <v/>
      </c>
    </row>
    <row r="132">
      <c r="A132" t="inlineStr">
        <is>
          <t>INV200131</t>
        </is>
      </c>
      <c r="B132" t="n">
        <v>32</v>
      </c>
      <c r="C132" t="inlineStr">
        <is>
          <t>V0032</t>
        </is>
      </c>
      <c r="D132" t="n">
        <v>6</v>
      </c>
      <c r="E132" t="n">
        <v>61100</v>
      </c>
      <c r="F132" t="inlineStr">
        <is>
          <t>PO100108</t>
        </is>
      </c>
      <c r="G132" t="n">
        <v>20260214</v>
      </c>
      <c r="H132" t="inlineStr">
        <is>
          <t>2026-02-14</t>
        </is>
      </c>
      <c r="I132" t="n">
        <v>20260331</v>
      </c>
      <c r="J132" t="inlineStr">
        <is>
          <t>2026-03-31</t>
        </is>
      </c>
      <c r="K132" s="9" t="n">
        <v>1396.58</v>
      </c>
      <c r="L132" t="inlineStr">
        <is>
          <t>USD</t>
        </is>
      </c>
      <c r="M132" s="4" t="n">
        <v>1396.58</v>
      </c>
      <c r="N132" t="inlineStr">
        <is>
          <t>Paid</t>
        </is>
      </c>
      <c r="O132" t="inlineStr">
        <is>
          <t>False</t>
        </is>
      </c>
      <c r="P132" t="n">
        <v>45</v>
      </c>
      <c r="Q132">
        <f>VLOOKUP(D132,GL_Accounts!$A$2:$E$1048576,5,FALSE)</f>
        <v/>
      </c>
      <c r="R132">
        <f>VLOOKUP(D132,GL_Accounts!$A$2:$E$1048576,4,FALSE)</f>
        <v/>
      </c>
    </row>
    <row r="133">
      <c r="A133" t="inlineStr">
        <is>
          <t>INV200132</t>
        </is>
      </c>
      <c r="B133" t="n">
        <v>32</v>
      </c>
      <c r="C133" t="inlineStr">
        <is>
          <t>V0032</t>
        </is>
      </c>
      <c r="D133" t="n">
        <v>6</v>
      </c>
      <c r="E133" t="n">
        <v>61100</v>
      </c>
      <c r="F133" t="inlineStr">
        <is>
          <t>PO100108</t>
        </is>
      </c>
      <c r="G133" t="n">
        <v>20260207</v>
      </c>
      <c r="H133" t="inlineStr">
        <is>
          <t>2026-02-07</t>
        </is>
      </c>
      <c r="I133" t="n">
        <v>20260324</v>
      </c>
      <c r="J133" t="inlineStr">
        <is>
          <t>2026-03-24</t>
        </is>
      </c>
      <c r="K133" s="9" t="n">
        <v>11299.53</v>
      </c>
      <c r="L133" t="inlineStr">
        <is>
          <t>USD</t>
        </is>
      </c>
      <c r="M133" s="4" t="n">
        <v>11299.53</v>
      </c>
      <c r="N133" t="inlineStr">
        <is>
          <t>Paid</t>
        </is>
      </c>
      <c r="O133" t="inlineStr">
        <is>
          <t>False</t>
        </is>
      </c>
      <c r="P133" t="n">
        <v>45</v>
      </c>
      <c r="Q133">
        <f>VLOOKUP(D133,GL_Accounts!$A$2:$E$1048576,5,FALSE)</f>
        <v/>
      </c>
      <c r="R133">
        <f>VLOOKUP(D133,GL_Accounts!$A$2:$E$1048576,4,FALSE)</f>
        <v/>
      </c>
    </row>
    <row r="134">
      <c r="A134" t="inlineStr">
        <is>
          <t>INV200133</t>
        </is>
      </c>
      <c r="B134" t="n">
        <v>42</v>
      </c>
      <c r="C134" t="inlineStr">
        <is>
          <t>V0042</t>
        </is>
      </c>
      <c r="D134" t="n">
        <v>17</v>
      </c>
      <c r="E134" t="n">
        <v>64100</v>
      </c>
      <c r="F134" t="inlineStr">
        <is>
          <t>PO100109</t>
        </is>
      </c>
      <c r="G134" t="n">
        <v>20241210</v>
      </c>
      <c r="H134" t="inlineStr">
        <is>
          <t>2024-12-10</t>
        </is>
      </c>
      <c r="I134" t="n">
        <v>20250124</v>
      </c>
      <c r="J134" t="inlineStr">
        <is>
          <t>2025-01-24</t>
        </is>
      </c>
      <c r="K134" s="9" t="n">
        <v>4385.54</v>
      </c>
      <c r="L134" t="inlineStr">
        <is>
          <t>USD</t>
        </is>
      </c>
      <c r="M134" s="4" t="n">
        <v>4385.54</v>
      </c>
      <c r="N134" t="inlineStr">
        <is>
          <t>Paid</t>
        </is>
      </c>
      <c r="O134" t="inlineStr">
        <is>
          <t>False</t>
        </is>
      </c>
      <c r="P134" t="n">
        <v>45</v>
      </c>
      <c r="Q134">
        <f>VLOOKUP(D134,GL_Accounts!$A$2:$E$1048576,5,FALSE)</f>
        <v/>
      </c>
      <c r="R134">
        <f>VLOOKUP(D134,GL_Accounts!$A$2:$E$1048576,4,FALSE)</f>
        <v/>
      </c>
    </row>
    <row r="135">
      <c r="A135" t="inlineStr">
        <is>
          <t>INV200134</t>
        </is>
      </c>
      <c r="B135" t="n">
        <v>42</v>
      </c>
      <c r="C135" t="inlineStr">
        <is>
          <t>V0042</t>
        </is>
      </c>
      <c r="D135" t="n">
        <v>8</v>
      </c>
      <c r="E135" t="n">
        <v>61300</v>
      </c>
      <c r="F135" t="inlineStr">
        <is>
          <t>PO100109</t>
        </is>
      </c>
      <c r="G135" t="n">
        <v>20250112</v>
      </c>
      <c r="H135" t="inlineStr">
        <is>
          <t>2025-01-12</t>
        </is>
      </c>
      <c r="I135" t="n">
        <v>20250226</v>
      </c>
      <c r="J135" t="inlineStr">
        <is>
          <t>2025-02-26</t>
        </is>
      </c>
      <c r="K135" s="9" t="n">
        <v>2366.65</v>
      </c>
      <c r="L135" t="inlineStr">
        <is>
          <t>USD</t>
        </is>
      </c>
      <c r="M135" s="4" t="n">
        <v>2366.65</v>
      </c>
      <c r="N135" t="inlineStr">
        <is>
          <t>Paid</t>
        </is>
      </c>
      <c r="O135" t="inlineStr">
        <is>
          <t>False</t>
        </is>
      </c>
      <c r="P135" t="n">
        <v>45</v>
      </c>
      <c r="Q135">
        <f>VLOOKUP(D135,GL_Accounts!$A$2:$E$1048576,5,FALSE)</f>
        <v/>
      </c>
      <c r="R135">
        <f>VLOOKUP(D135,GL_Accounts!$A$2:$E$1048576,4,FALSE)</f>
        <v/>
      </c>
    </row>
    <row r="136">
      <c r="A136" t="inlineStr">
        <is>
          <t>INV200135</t>
        </is>
      </c>
      <c r="B136" t="n">
        <v>22</v>
      </c>
      <c r="C136" t="inlineStr">
        <is>
          <t>V0022</t>
        </is>
      </c>
      <c r="D136" t="n">
        <v>7</v>
      </c>
      <c r="E136" t="n">
        <v>61200</v>
      </c>
      <c r="F136" t="inlineStr">
        <is>
          <t>PO100110</t>
        </is>
      </c>
      <c r="G136" t="n">
        <v>20260802</v>
      </c>
      <c r="H136" t="inlineStr">
        <is>
          <t>2026-08-02</t>
        </is>
      </c>
      <c r="I136" t="n">
        <v>20260901</v>
      </c>
      <c r="J136" t="inlineStr">
        <is>
          <t>2026-09-01</t>
        </is>
      </c>
      <c r="K136" s="9" t="n">
        <v>5195.58</v>
      </c>
      <c r="L136" t="inlineStr">
        <is>
          <t>USD</t>
        </is>
      </c>
      <c r="M136" s="4" t="n">
        <v>5195.58</v>
      </c>
      <c r="N136" t="inlineStr">
        <is>
          <t>Unpaid</t>
        </is>
      </c>
      <c r="O136" t="inlineStr">
        <is>
          <t>False</t>
        </is>
      </c>
      <c r="P136" t="n">
        <v>30</v>
      </c>
      <c r="Q136">
        <f>VLOOKUP(D136,GL_Accounts!$A$2:$E$1048576,5,FALSE)</f>
        <v/>
      </c>
      <c r="R136">
        <f>VLOOKUP(D136,GL_Accounts!$A$2:$E$1048576,4,FALSE)</f>
        <v/>
      </c>
    </row>
    <row r="137">
      <c r="A137" t="inlineStr">
        <is>
          <t>INV200136</t>
        </is>
      </c>
      <c r="B137" t="n">
        <v>22</v>
      </c>
      <c r="C137" t="inlineStr">
        <is>
          <t>V0022</t>
        </is>
      </c>
      <c r="D137" t="n">
        <v>8</v>
      </c>
      <c r="E137" t="n">
        <v>61300</v>
      </c>
      <c r="F137" t="inlineStr">
        <is>
          <t>PO100110</t>
        </is>
      </c>
      <c r="G137" t="n">
        <v>20260811</v>
      </c>
      <c r="H137" t="inlineStr">
        <is>
          <t>2026-08-11</t>
        </is>
      </c>
      <c r="I137" t="n">
        <v>20260910</v>
      </c>
      <c r="J137" t="inlineStr">
        <is>
          <t>2026-09-10</t>
        </is>
      </c>
      <c r="K137" s="9" t="n">
        <v>7476.8</v>
      </c>
      <c r="L137" t="inlineStr">
        <is>
          <t>USD</t>
        </is>
      </c>
      <c r="M137" s="4" t="n">
        <v>7476.8</v>
      </c>
      <c r="N137" t="inlineStr">
        <is>
          <t>Unpaid</t>
        </is>
      </c>
      <c r="O137" t="inlineStr">
        <is>
          <t>False</t>
        </is>
      </c>
      <c r="P137" t="n">
        <v>30</v>
      </c>
      <c r="Q137">
        <f>VLOOKUP(D137,GL_Accounts!$A$2:$E$1048576,5,FALSE)</f>
        <v/>
      </c>
      <c r="R137">
        <f>VLOOKUP(D137,GL_Accounts!$A$2:$E$1048576,4,FALSE)</f>
        <v/>
      </c>
    </row>
    <row r="138">
      <c r="A138" t="inlineStr">
        <is>
          <t>INV200137</t>
        </is>
      </c>
      <c r="B138" t="n">
        <v>20</v>
      </c>
      <c r="C138" t="inlineStr">
        <is>
          <t>V0020</t>
        </is>
      </c>
      <c r="D138" t="n">
        <v>8</v>
      </c>
      <c r="E138" t="n">
        <v>61300</v>
      </c>
      <c r="F138" t="inlineStr">
        <is>
          <t>PO100112</t>
        </is>
      </c>
      <c r="G138" t="n">
        <v>20260407</v>
      </c>
      <c r="H138" t="inlineStr">
        <is>
          <t>2026-04-07</t>
        </is>
      </c>
      <c r="I138" t="n">
        <v>20260422</v>
      </c>
      <c r="J138" t="inlineStr">
        <is>
          <t>2026-04-22</t>
        </is>
      </c>
      <c r="K138" s="9" t="n">
        <v>22209.77</v>
      </c>
      <c r="L138" t="inlineStr">
        <is>
          <t>USD</t>
        </is>
      </c>
      <c r="M138" s="4" t="n">
        <v>22209.77</v>
      </c>
      <c r="N138" t="inlineStr">
        <is>
          <t>Paid</t>
        </is>
      </c>
      <c r="O138" t="inlineStr">
        <is>
          <t>False</t>
        </is>
      </c>
      <c r="P138" t="n">
        <v>15</v>
      </c>
      <c r="Q138">
        <f>VLOOKUP(D138,GL_Accounts!$A$2:$E$1048576,5,FALSE)</f>
        <v/>
      </c>
      <c r="R138">
        <f>VLOOKUP(D138,GL_Accounts!$A$2:$E$1048576,4,FALSE)</f>
        <v/>
      </c>
    </row>
    <row r="139">
      <c r="A139" t="inlineStr">
        <is>
          <t>INV200138</t>
        </is>
      </c>
      <c r="B139" t="n">
        <v>48</v>
      </c>
      <c r="C139" t="inlineStr">
        <is>
          <t>V0048</t>
        </is>
      </c>
      <c r="D139" t="n">
        <v>4</v>
      </c>
      <c r="E139" t="n">
        <v>60200</v>
      </c>
      <c r="F139" t="inlineStr">
        <is>
          <t>PO100113</t>
        </is>
      </c>
      <c r="G139" t="n">
        <v>20260112</v>
      </c>
      <c r="H139" t="inlineStr">
        <is>
          <t>2026-01-12</t>
        </is>
      </c>
      <c r="I139" t="n">
        <v>20260226</v>
      </c>
      <c r="J139" t="inlineStr">
        <is>
          <t>2026-02-26</t>
        </is>
      </c>
      <c r="K139" s="9" t="n">
        <v>14357.22</v>
      </c>
      <c r="L139" t="inlineStr">
        <is>
          <t>USD</t>
        </is>
      </c>
      <c r="M139" s="4" t="n">
        <v>14357.22</v>
      </c>
      <c r="N139" t="inlineStr">
        <is>
          <t>Paid</t>
        </is>
      </c>
      <c r="O139" t="inlineStr">
        <is>
          <t>False</t>
        </is>
      </c>
      <c r="P139" t="n">
        <v>45</v>
      </c>
      <c r="Q139">
        <f>VLOOKUP(D139,GL_Accounts!$A$2:$E$1048576,5,FALSE)</f>
        <v/>
      </c>
      <c r="R139">
        <f>VLOOKUP(D139,GL_Accounts!$A$2:$E$1048576,4,FALSE)</f>
        <v/>
      </c>
    </row>
    <row r="140">
      <c r="A140" t="inlineStr">
        <is>
          <t>INV200139</t>
        </is>
      </c>
      <c r="B140" t="n">
        <v>29</v>
      </c>
      <c r="C140" t="inlineStr">
        <is>
          <t>V0029</t>
        </is>
      </c>
      <c r="D140" t="n">
        <v>8</v>
      </c>
      <c r="E140" t="n">
        <v>61300</v>
      </c>
      <c r="F140" t="inlineStr">
        <is>
          <t>PO100114</t>
        </is>
      </c>
      <c r="G140" t="n">
        <v>20251001</v>
      </c>
      <c r="H140" t="inlineStr">
        <is>
          <t>2025-10-01</t>
        </is>
      </c>
      <c r="I140" t="n">
        <v>20251130</v>
      </c>
      <c r="J140" t="inlineStr">
        <is>
          <t>2025-11-30</t>
        </is>
      </c>
      <c r="K140" s="9" t="n">
        <v>27587.68</v>
      </c>
      <c r="L140" t="inlineStr">
        <is>
          <t>USD</t>
        </is>
      </c>
      <c r="M140" s="4" t="n">
        <v>27587.68</v>
      </c>
      <c r="N140" t="inlineStr">
        <is>
          <t>Paid</t>
        </is>
      </c>
      <c r="O140" t="inlineStr">
        <is>
          <t>False</t>
        </is>
      </c>
      <c r="P140" t="n">
        <v>60</v>
      </c>
      <c r="Q140">
        <f>VLOOKUP(D140,GL_Accounts!$A$2:$E$1048576,5,FALSE)</f>
        <v/>
      </c>
      <c r="R140">
        <f>VLOOKUP(D140,GL_Accounts!$A$2:$E$1048576,4,FALSE)</f>
        <v/>
      </c>
    </row>
    <row r="141">
      <c r="A141" t="inlineStr">
        <is>
          <t>INV200140</t>
        </is>
      </c>
      <c r="B141" t="n">
        <v>31</v>
      </c>
      <c r="C141" t="inlineStr">
        <is>
          <t>V0031</t>
        </is>
      </c>
      <c r="D141" t="n">
        <v>2</v>
      </c>
      <c r="E141" t="n">
        <v>60110</v>
      </c>
      <c r="F141" t="inlineStr">
        <is>
          <t>PO100115</t>
        </is>
      </c>
      <c r="G141" t="n">
        <v>20250903</v>
      </c>
      <c r="H141" t="inlineStr">
        <is>
          <t>2025-09-03</t>
        </is>
      </c>
      <c r="I141" t="n">
        <v>20251003</v>
      </c>
      <c r="J141" t="inlineStr">
        <is>
          <t>2025-10-03</t>
        </is>
      </c>
      <c r="K141" s="9" t="n">
        <v>11140.98</v>
      </c>
      <c r="L141" t="inlineStr">
        <is>
          <t>USD</t>
        </is>
      </c>
      <c r="M141" s="4" t="n">
        <v>11140.98</v>
      </c>
      <c r="N141" t="inlineStr">
        <is>
          <t>Paid</t>
        </is>
      </c>
      <c r="O141" t="inlineStr">
        <is>
          <t>False</t>
        </is>
      </c>
      <c r="P141" t="n">
        <v>30</v>
      </c>
      <c r="Q141">
        <f>VLOOKUP(D141,GL_Accounts!$A$2:$E$1048576,5,FALSE)</f>
        <v/>
      </c>
      <c r="R141">
        <f>VLOOKUP(D141,GL_Accounts!$A$2:$E$1048576,4,FALSE)</f>
        <v/>
      </c>
    </row>
    <row r="142">
      <c r="A142" t="inlineStr">
        <is>
          <t>INV200141</t>
        </is>
      </c>
      <c r="B142" t="n">
        <v>31</v>
      </c>
      <c r="C142" t="inlineStr">
        <is>
          <t>V0031</t>
        </is>
      </c>
      <c r="D142" t="n">
        <v>3</v>
      </c>
      <c r="E142" t="n">
        <v>60120</v>
      </c>
      <c r="F142" t="inlineStr">
        <is>
          <t>PO100115</t>
        </is>
      </c>
      <c r="G142" t="n">
        <v>20250910</v>
      </c>
      <c r="H142" t="inlineStr">
        <is>
          <t>2025-09-10</t>
        </is>
      </c>
      <c r="I142" t="n">
        <v>20251010</v>
      </c>
      <c r="J142" t="inlineStr">
        <is>
          <t>2025-10-10</t>
        </is>
      </c>
      <c r="K142" s="9" t="n">
        <v>30336</v>
      </c>
      <c r="L142" t="inlineStr">
        <is>
          <t>USD</t>
        </is>
      </c>
      <c r="M142" s="4" t="n">
        <v>30336</v>
      </c>
      <c r="N142" t="inlineStr">
        <is>
          <t>Paid</t>
        </is>
      </c>
      <c r="O142" t="inlineStr">
        <is>
          <t>False</t>
        </is>
      </c>
      <c r="P142" t="n">
        <v>30</v>
      </c>
      <c r="Q142">
        <f>VLOOKUP(D142,GL_Accounts!$A$2:$E$1048576,5,FALSE)</f>
        <v/>
      </c>
      <c r="R142">
        <f>VLOOKUP(D142,GL_Accounts!$A$2:$E$1048576,4,FALSE)</f>
        <v/>
      </c>
    </row>
    <row r="143">
      <c r="A143" t="inlineStr">
        <is>
          <t>INV200142</t>
        </is>
      </c>
      <c r="B143" t="n">
        <v>3</v>
      </c>
      <c r="C143" t="inlineStr">
        <is>
          <t>V0003</t>
        </is>
      </c>
      <c r="D143" t="n">
        <v>1</v>
      </c>
      <c r="E143" t="n">
        <v>60100</v>
      </c>
      <c r="F143" t="inlineStr">
        <is>
          <t>PO100116</t>
        </is>
      </c>
      <c r="G143" t="n">
        <v>20260313</v>
      </c>
      <c r="H143" t="inlineStr">
        <is>
          <t>2026-03-13</t>
        </is>
      </c>
      <c r="I143" t="n">
        <v>20260427</v>
      </c>
      <c r="J143" t="inlineStr">
        <is>
          <t>2026-04-27</t>
        </is>
      </c>
      <c r="K143" s="9" t="n">
        <v>13982.42</v>
      </c>
      <c r="L143" t="inlineStr">
        <is>
          <t>USD</t>
        </is>
      </c>
      <c r="M143" s="4" t="n">
        <v>13982.42</v>
      </c>
      <c r="N143" t="inlineStr">
        <is>
          <t>Paid</t>
        </is>
      </c>
      <c r="O143" t="inlineStr">
        <is>
          <t>False</t>
        </is>
      </c>
      <c r="P143" t="n">
        <v>45</v>
      </c>
      <c r="Q143">
        <f>VLOOKUP(D143,GL_Accounts!$A$2:$E$1048576,5,FALSE)</f>
        <v/>
      </c>
      <c r="R143">
        <f>VLOOKUP(D143,GL_Accounts!$A$2:$E$1048576,4,FALSE)</f>
        <v/>
      </c>
    </row>
    <row r="144">
      <c r="A144" t="inlineStr">
        <is>
          <t>INV200143</t>
        </is>
      </c>
      <c r="B144" t="n">
        <v>12</v>
      </c>
      <c r="C144" t="inlineStr">
        <is>
          <t>V0012</t>
        </is>
      </c>
      <c r="D144" t="n">
        <v>13</v>
      </c>
      <c r="E144" t="n">
        <v>62400</v>
      </c>
      <c r="F144" t="inlineStr">
        <is>
          <t>PO100117</t>
        </is>
      </c>
      <c r="G144" t="n">
        <v>20260801</v>
      </c>
      <c r="H144" t="inlineStr">
        <is>
          <t>2026-08-01</t>
        </is>
      </c>
      <c r="I144" t="n">
        <v>20260831</v>
      </c>
      <c r="J144" t="inlineStr">
        <is>
          <t>2026-08-31</t>
        </is>
      </c>
      <c r="K144" s="9" t="n">
        <v>3914.73</v>
      </c>
      <c r="L144" t="inlineStr">
        <is>
          <t>USD</t>
        </is>
      </c>
      <c r="M144" s="4" t="n">
        <v>3914.73</v>
      </c>
      <c r="N144" t="inlineStr">
        <is>
          <t>Unpaid</t>
        </is>
      </c>
      <c r="O144" t="inlineStr">
        <is>
          <t>False</t>
        </is>
      </c>
      <c r="P144" t="n">
        <v>30</v>
      </c>
      <c r="Q144">
        <f>VLOOKUP(D144,GL_Accounts!$A$2:$E$1048576,5,FALSE)</f>
        <v/>
      </c>
      <c r="R144">
        <f>VLOOKUP(D144,GL_Accounts!$A$2:$E$1048576,4,FALSE)</f>
        <v/>
      </c>
    </row>
    <row r="145">
      <c r="A145" t="inlineStr">
        <is>
          <t>INV200144</t>
        </is>
      </c>
      <c r="B145" t="n">
        <v>9</v>
      </c>
      <c r="C145" t="inlineStr">
        <is>
          <t>V0009</t>
        </is>
      </c>
      <c r="D145" t="n">
        <v>6</v>
      </c>
      <c r="E145" t="n">
        <v>61100</v>
      </c>
      <c r="F145" t="inlineStr">
        <is>
          <t>PO100118</t>
        </is>
      </c>
      <c r="G145" t="n">
        <v>20250526</v>
      </c>
      <c r="H145" t="inlineStr">
        <is>
          <t>2025-05-26</t>
        </is>
      </c>
      <c r="I145" t="n">
        <v>20250610</v>
      </c>
      <c r="J145" t="inlineStr">
        <is>
          <t>2025-06-10</t>
        </is>
      </c>
      <c r="K145" s="9" t="n">
        <v>15240.41</v>
      </c>
      <c r="L145" t="inlineStr">
        <is>
          <t>USD</t>
        </is>
      </c>
      <c r="M145" s="4" t="n">
        <v>15240.41</v>
      </c>
      <c r="N145" t="inlineStr">
        <is>
          <t>Paid</t>
        </is>
      </c>
      <c r="O145" t="inlineStr">
        <is>
          <t>False</t>
        </is>
      </c>
      <c r="P145" t="n">
        <v>15</v>
      </c>
      <c r="Q145">
        <f>VLOOKUP(D145,GL_Accounts!$A$2:$E$1048576,5,FALSE)</f>
        <v/>
      </c>
      <c r="R145">
        <f>VLOOKUP(D145,GL_Accounts!$A$2:$E$1048576,4,FALSE)</f>
        <v/>
      </c>
    </row>
    <row r="146">
      <c r="A146" t="inlineStr">
        <is>
          <t>INV200145</t>
        </is>
      </c>
      <c r="B146" t="n">
        <v>60</v>
      </c>
      <c r="C146" t="inlineStr">
        <is>
          <t>V0001</t>
        </is>
      </c>
      <c r="D146" t="n">
        <v>2</v>
      </c>
      <c r="E146" t="n">
        <v>60110</v>
      </c>
      <c r="F146" t="inlineStr">
        <is>
          <t>PO100119</t>
        </is>
      </c>
      <c r="G146" t="n">
        <v>20260111</v>
      </c>
      <c r="H146" t="inlineStr">
        <is>
          <t>2026-01-11</t>
        </is>
      </c>
      <c r="I146" t="n">
        <v>20260225</v>
      </c>
      <c r="J146" t="inlineStr">
        <is>
          <t>2026-02-25</t>
        </is>
      </c>
      <c r="K146" s="9" t="n">
        <v>89561.19</v>
      </c>
      <c r="L146" t="inlineStr">
        <is>
          <t>USD</t>
        </is>
      </c>
      <c r="M146" s="4" t="n">
        <v>89561.19</v>
      </c>
      <c r="N146" t="inlineStr">
        <is>
          <t>Paid</t>
        </is>
      </c>
      <c r="O146" t="inlineStr">
        <is>
          <t>False</t>
        </is>
      </c>
      <c r="P146" t="n">
        <v>45</v>
      </c>
      <c r="Q146">
        <f>VLOOKUP(D146,GL_Accounts!$A$2:$E$1048576,5,FALSE)</f>
        <v/>
      </c>
      <c r="R146">
        <f>VLOOKUP(D146,GL_Accounts!$A$2:$E$1048576,4,FALSE)</f>
        <v/>
      </c>
    </row>
    <row r="147">
      <c r="A147" t="inlineStr">
        <is>
          <t>INV200146</t>
        </is>
      </c>
      <c r="B147" t="n">
        <v>33</v>
      </c>
      <c r="C147" t="inlineStr">
        <is>
          <t>V0033</t>
        </is>
      </c>
      <c r="D147" t="n">
        <v>15</v>
      </c>
      <c r="E147" t="n">
        <v>63200</v>
      </c>
      <c r="F147" t="inlineStr">
        <is>
          <t>PO100120</t>
        </is>
      </c>
      <c r="G147" t="n">
        <v>20260311</v>
      </c>
      <c r="H147" t="inlineStr">
        <is>
          <t>2026-03-11</t>
        </is>
      </c>
      <c r="I147" t="n">
        <v>20260510</v>
      </c>
      <c r="J147" t="inlineStr">
        <is>
          <t>2026-05-10</t>
        </is>
      </c>
      <c r="K147" s="9" t="n">
        <v>231.8</v>
      </c>
      <c r="L147" t="inlineStr">
        <is>
          <t>USD</t>
        </is>
      </c>
      <c r="M147" s="4" t="n">
        <v>231.8</v>
      </c>
      <c r="N147" t="inlineStr">
        <is>
          <t>Paid</t>
        </is>
      </c>
      <c r="O147" t="inlineStr">
        <is>
          <t>False</t>
        </is>
      </c>
      <c r="P147" t="n">
        <v>60</v>
      </c>
      <c r="Q147">
        <f>VLOOKUP(D147,GL_Accounts!$A$2:$E$1048576,5,FALSE)</f>
        <v/>
      </c>
      <c r="R147">
        <f>VLOOKUP(D147,GL_Accounts!$A$2:$E$1048576,4,FALSE)</f>
        <v/>
      </c>
    </row>
    <row r="148">
      <c r="A148" t="inlineStr">
        <is>
          <t>INV200147</t>
        </is>
      </c>
      <c r="B148" t="n">
        <v>23</v>
      </c>
      <c r="C148" t="inlineStr">
        <is>
          <t>V0023</t>
        </is>
      </c>
      <c r="D148" t="n">
        <v>1</v>
      </c>
      <c r="E148" t="n">
        <v>60100</v>
      </c>
      <c r="F148" t="inlineStr">
        <is>
          <t>PO100121</t>
        </is>
      </c>
      <c r="G148" t="n">
        <v>20250811</v>
      </c>
      <c r="H148" t="inlineStr">
        <is>
          <t>2025-08-11</t>
        </is>
      </c>
      <c r="I148" t="n">
        <v>20250925</v>
      </c>
      <c r="J148" t="inlineStr">
        <is>
          <t>2025-09-25</t>
        </is>
      </c>
      <c r="K148" s="9" t="n">
        <v>2919.45</v>
      </c>
      <c r="L148" t="inlineStr">
        <is>
          <t>USD</t>
        </is>
      </c>
      <c r="M148" s="4" t="n">
        <v>2919.45</v>
      </c>
      <c r="N148" t="inlineStr">
        <is>
          <t>Paid</t>
        </is>
      </c>
      <c r="O148" t="inlineStr">
        <is>
          <t>False</t>
        </is>
      </c>
      <c r="P148" t="n">
        <v>45</v>
      </c>
      <c r="Q148">
        <f>VLOOKUP(D148,GL_Accounts!$A$2:$E$1048576,5,FALSE)</f>
        <v/>
      </c>
      <c r="R148">
        <f>VLOOKUP(D148,GL_Accounts!$A$2:$E$1048576,4,FALSE)</f>
        <v/>
      </c>
    </row>
    <row r="149">
      <c r="A149" t="inlineStr">
        <is>
          <t>INV200148</t>
        </is>
      </c>
      <c r="B149" t="n">
        <v>23</v>
      </c>
      <c r="C149" t="inlineStr">
        <is>
          <t>V0023</t>
        </is>
      </c>
      <c r="D149" t="n">
        <v>1</v>
      </c>
      <c r="E149" t="n">
        <v>60100</v>
      </c>
      <c r="F149" t="inlineStr">
        <is>
          <t>PO100121</t>
        </is>
      </c>
      <c r="G149" t="n">
        <v>20250818</v>
      </c>
      <c r="H149" t="inlineStr">
        <is>
          <t>2025-08-18</t>
        </is>
      </c>
      <c r="I149" t="n">
        <v>20251002</v>
      </c>
      <c r="J149" t="inlineStr">
        <is>
          <t>2025-10-02</t>
        </is>
      </c>
      <c r="K149" s="9" t="n">
        <v>3930.99</v>
      </c>
      <c r="L149" t="inlineStr">
        <is>
          <t>USD</t>
        </is>
      </c>
      <c r="M149" s="4" t="n">
        <v>3930.99</v>
      </c>
      <c r="N149" t="inlineStr">
        <is>
          <t>Paid</t>
        </is>
      </c>
      <c r="O149" t="inlineStr">
        <is>
          <t>False</t>
        </is>
      </c>
      <c r="P149" t="n">
        <v>45</v>
      </c>
      <c r="Q149">
        <f>VLOOKUP(D149,GL_Accounts!$A$2:$E$1048576,5,FALSE)</f>
        <v/>
      </c>
      <c r="R149">
        <f>VLOOKUP(D149,GL_Accounts!$A$2:$E$1048576,4,FALSE)</f>
        <v/>
      </c>
    </row>
    <row r="150">
      <c r="A150" t="inlineStr">
        <is>
          <t>INV200149</t>
        </is>
      </c>
      <c r="B150" t="n">
        <v>34</v>
      </c>
      <c r="C150" t="inlineStr">
        <is>
          <t>V0034</t>
        </is>
      </c>
      <c r="D150" t="n">
        <v>15</v>
      </c>
      <c r="E150" t="n">
        <v>63200</v>
      </c>
      <c r="F150" t="inlineStr">
        <is>
          <t>PO100122</t>
        </is>
      </c>
      <c r="G150" t="n">
        <v>20250911</v>
      </c>
      <c r="H150" t="inlineStr">
        <is>
          <t>2025-09-11</t>
        </is>
      </c>
      <c r="I150" t="n">
        <v>20250926</v>
      </c>
      <c r="J150" t="inlineStr">
        <is>
          <t>2025-09-26</t>
        </is>
      </c>
      <c r="K150" s="9" t="n">
        <v>1623.44</v>
      </c>
      <c r="L150" t="inlineStr">
        <is>
          <t>EUR</t>
        </is>
      </c>
      <c r="M150" s="4" t="n">
        <v>1753.32</v>
      </c>
      <c r="N150" t="inlineStr">
        <is>
          <t>Paid</t>
        </is>
      </c>
      <c r="O150" t="inlineStr">
        <is>
          <t>False</t>
        </is>
      </c>
      <c r="P150" t="n">
        <v>15</v>
      </c>
      <c r="Q150">
        <f>VLOOKUP(D150,GL_Accounts!$A$2:$E$1048576,5,FALSE)</f>
        <v/>
      </c>
      <c r="R150">
        <f>VLOOKUP(D150,GL_Accounts!$A$2:$E$1048576,4,FALSE)</f>
        <v/>
      </c>
    </row>
    <row r="151">
      <c r="A151" t="inlineStr">
        <is>
          <t>INV200150</t>
        </is>
      </c>
      <c r="B151" t="n">
        <v>9</v>
      </c>
      <c r="C151" t="inlineStr">
        <is>
          <t>V0009</t>
        </is>
      </c>
      <c r="D151" t="n">
        <v>7</v>
      </c>
      <c r="E151" t="n">
        <v>61200</v>
      </c>
      <c r="F151" t="inlineStr">
        <is>
          <t>PO100123</t>
        </is>
      </c>
      <c r="G151" t="n">
        <v>20250915</v>
      </c>
      <c r="H151" t="inlineStr">
        <is>
          <t>2025-09-15</t>
        </is>
      </c>
      <c r="I151" t="n">
        <v>20250930</v>
      </c>
      <c r="J151" t="inlineStr">
        <is>
          <t>2025-09-30</t>
        </is>
      </c>
      <c r="K151" s="9" t="n">
        <v>5681.98</v>
      </c>
      <c r="L151" t="inlineStr">
        <is>
          <t>USD</t>
        </is>
      </c>
      <c r="M151" s="4" t="n">
        <v>5681.98</v>
      </c>
      <c r="N151" t="inlineStr">
        <is>
          <t>Paid</t>
        </is>
      </c>
      <c r="O151" t="inlineStr">
        <is>
          <t>False</t>
        </is>
      </c>
      <c r="P151" t="n">
        <v>15</v>
      </c>
      <c r="Q151">
        <f>VLOOKUP(D151,GL_Accounts!$A$2:$E$1048576,5,FALSE)</f>
        <v/>
      </c>
      <c r="R151">
        <f>VLOOKUP(D151,GL_Accounts!$A$2:$E$1048576,4,FALSE)</f>
        <v/>
      </c>
    </row>
    <row r="152">
      <c r="A152" t="inlineStr">
        <is>
          <t>INV200151</t>
        </is>
      </c>
      <c r="B152" t="n">
        <v>59</v>
      </c>
      <c r="C152" t="inlineStr">
        <is>
          <t>V0024</t>
        </is>
      </c>
      <c r="D152" t="n">
        <v>17</v>
      </c>
      <c r="E152" t="n">
        <v>64100</v>
      </c>
      <c r="F152" t="inlineStr">
        <is>
          <t>PO100124</t>
        </is>
      </c>
      <c r="G152" t="n">
        <v>20251103</v>
      </c>
      <c r="H152" t="inlineStr">
        <is>
          <t>2025-11-03</t>
        </is>
      </c>
      <c r="I152" t="n">
        <v>20251218</v>
      </c>
      <c r="J152" t="inlineStr">
        <is>
          <t>2025-12-18</t>
        </is>
      </c>
      <c r="K152" s="9" t="n">
        <v>6168.05</v>
      </c>
      <c r="L152" t="inlineStr">
        <is>
          <t>USD</t>
        </is>
      </c>
      <c r="M152" s="4" t="n">
        <v>6168.05</v>
      </c>
      <c r="N152" t="inlineStr">
        <is>
          <t>Paid</t>
        </is>
      </c>
      <c r="O152" t="inlineStr">
        <is>
          <t>False</t>
        </is>
      </c>
      <c r="P152" t="n">
        <v>45</v>
      </c>
      <c r="Q152">
        <f>VLOOKUP(D152,GL_Accounts!$A$2:$E$1048576,5,FALSE)</f>
        <v/>
      </c>
      <c r="R152">
        <f>VLOOKUP(D152,GL_Accounts!$A$2:$E$1048576,4,FALSE)</f>
        <v/>
      </c>
    </row>
    <row r="153">
      <c r="A153" t="inlineStr">
        <is>
          <t>INV200152</t>
        </is>
      </c>
      <c r="B153" t="n">
        <v>59</v>
      </c>
      <c r="C153" t="inlineStr">
        <is>
          <t>V0024</t>
        </is>
      </c>
      <c r="D153" t="n">
        <v>16</v>
      </c>
      <c r="E153" t="n">
        <v>63300</v>
      </c>
      <c r="F153" t="inlineStr">
        <is>
          <t>PO100124</t>
        </is>
      </c>
      <c r="G153" t="n">
        <v>20251125</v>
      </c>
      <c r="H153" t="inlineStr">
        <is>
          <t>2025-11-25</t>
        </is>
      </c>
      <c r="I153" t="n">
        <v>20260109</v>
      </c>
      <c r="J153" t="inlineStr">
        <is>
          <t>2026-01-09</t>
        </is>
      </c>
      <c r="K153" s="9" t="n">
        <v>5068.07</v>
      </c>
      <c r="L153" t="inlineStr">
        <is>
          <t>USD</t>
        </is>
      </c>
      <c r="M153" s="4" t="n">
        <v>5068.07</v>
      </c>
      <c r="N153" t="inlineStr">
        <is>
          <t>Paid</t>
        </is>
      </c>
      <c r="O153" t="inlineStr">
        <is>
          <t>False</t>
        </is>
      </c>
      <c r="P153" t="n">
        <v>45</v>
      </c>
      <c r="Q153">
        <f>VLOOKUP(D153,GL_Accounts!$A$2:$E$1048576,5,FALSE)</f>
        <v/>
      </c>
      <c r="R153">
        <f>VLOOKUP(D153,GL_Accounts!$A$2:$E$1048576,4,FALSE)</f>
        <v/>
      </c>
    </row>
    <row r="154">
      <c r="A154" t="inlineStr">
        <is>
          <t>INV200153</t>
        </is>
      </c>
      <c r="B154" t="n">
        <v>25</v>
      </c>
      <c r="C154" t="inlineStr">
        <is>
          <t>V0025</t>
        </is>
      </c>
      <c r="D154" t="n">
        <v>7</v>
      </c>
      <c r="E154" t="n">
        <v>61200</v>
      </c>
      <c r="F154" t="inlineStr">
        <is>
          <t>PO100125</t>
        </is>
      </c>
      <c r="G154" t="n">
        <v>20251220</v>
      </c>
      <c r="H154" t="inlineStr">
        <is>
          <t>2025-12-20</t>
        </is>
      </c>
      <c r="I154" t="n">
        <v>20260119</v>
      </c>
      <c r="J154" t="inlineStr">
        <is>
          <t>2026-01-19</t>
        </is>
      </c>
      <c r="K154" s="9" t="n">
        <v>3077.91</v>
      </c>
      <c r="L154" t="inlineStr">
        <is>
          <t>GBP</t>
        </is>
      </c>
      <c r="M154" s="4" t="n">
        <v>3908.95</v>
      </c>
      <c r="N154" t="inlineStr">
        <is>
          <t>Paid</t>
        </is>
      </c>
      <c r="O154" t="inlineStr">
        <is>
          <t>False</t>
        </is>
      </c>
      <c r="P154" t="n">
        <v>30</v>
      </c>
      <c r="Q154">
        <f>VLOOKUP(D154,GL_Accounts!$A$2:$E$1048576,5,FALSE)</f>
        <v/>
      </c>
      <c r="R154">
        <f>VLOOKUP(D154,GL_Accounts!$A$2:$E$1048576,4,FALSE)</f>
        <v/>
      </c>
    </row>
    <row r="155">
      <c r="A155" t="inlineStr">
        <is>
          <t>INV200154</t>
        </is>
      </c>
      <c r="B155" t="n">
        <v>25</v>
      </c>
      <c r="C155" t="inlineStr">
        <is>
          <t>V0025</t>
        </is>
      </c>
      <c r="D155" t="n">
        <v>6</v>
      </c>
      <c r="E155" t="n">
        <v>61100</v>
      </c>
      <c r="F155" t="inlineStr">
        <is>
          <t>PO100125</t>
        </is>
      </c>
      <c r="G155" t="n">
        <v>20251228</v>
      </c>
      <c r="H155" t="inlineStr">
        <is>
          <t>2025-12-28</t>
        </is>
      </c>
      <c r="I155" t="n">
        <v>20260127</v>
      </c>
      <c r="J155" t="inlineStr">
        <is>
          <t>2026-01-27</t>
        </is>
      </c>
      <c r="K155" s="9" t="n">
        <v>2260.49</v>
      </c>
      <c r="L155" t="inlineStr">
        <is>
          <t>GBP</t>
        </is>
      </c>
      <c r="M155" s="4" t="n">
        <v>2870.82</v>
      </c>
      <c r="N155" t="inlineStr">
        <is>
          <t>Paid</t>
        </is>
      </c>
      <c r="O155" t="inlineStr">
        <is>
          <t>False</t>
        </is>
      </c>
      <c r="P155" t="n">
        <v>30</v>
      </c>
      <c r="Q155">
        <f>VLOOKUP(D155,GL_Accounts!$A$2:$E$1048576,5,FALSE)</f>
        <v/>
      </c>
      <c r="R155">
        <f>VLOOKUP(D155,GL_Accounts!$A$2:$E$1048576,4,FALSE)</f>
        <v/>
      </c>
    </row>
    <row r="156">
      <c r="A156" t="inlineStr">
        <is>
          <t>INV200155</t>
        </is>
      </c>
      <c r="B156" t="n">
        <v>21</v>
      </c>
      <c r="C156" t="inlineStr">
        <is>
          <t>V0021</t>
        </is>
      </c>
      <c r="D156" t="n">
        <v>16</v>
      </c>
      <c r="E156" t="n">
        <v>63300</v>
      </c>
      <c r="F156" t="inlineStr">
        <is>
          <t>PO100127</t>
        </is>
      </c>
      <c r="G156" t="n">
        <v>20250703</v>
      </c>
      <c r="H156" t="inlineStr">
        <is>
          <t>2025-07-03</t>
        </is>
      </c>
      <c r="I156" t="n">
        <v>20250901</v>
      </c>
      <c r="J156" t="inlineStr">
        <is>
          <t>2025-09-01</t>
        </is>
      </c>
      <c r="K156" s="9" t="n">
        <v>27744.7</v>
      </c>
      <c r="L156" t="inlineStr">
        <is>
          <t>USD</t>
        </is>
      </c>
      <c r="M156" s="4" t="n">
        <v>27744.7</v>
      </c>
      <c r="N156" t="inlineStr">
        <is>
          <t>Paid</t>
        </is>
      </c>
      <c r="O156" t="inlineStr">
        <is>
          <t>False</t>
        </is>
      </c>
      <c r="P156" t="n">
        <v>60</v>
      </c>
      <c r="Q156">
        <f>VLOOKUP(D156,GL_Accounts!$A$2:$E$1048576,5,FALSE)</f>
        <v/>
      </c>
      <c r="R156">
        <f>VLOOKUP(D156,GL_Accounts!$A$2:$E$1048576,4,FALSE)</f>
        <v/>
      </c>
    </row>
    <row r="157">
      <c r="A157" t="inlineStr">
        <is>
          <t>INV200156</t>
        </is>
      </c>
      <c r="B157" t="n">
        <v>21</v>
      </c>
      <c r="C157" t="inlineStr">
        <is>
          <t>V0021</t>
        </is>
      </c>
      <c r="D157" t="n">
        <v>16</v>
      </c>
      <c r="E157" t="n">
        <v>63300</v>
      </c>
      <c r="F157" t="inlineStr">
        <is>
          <t>PO100127</t>
        </is>
      </c>
      <c r="G157" t="n">
        <v>20250709</v>
      </c>
      <c r="H157" t="inlineStr">
        <is>
          <t>2025-07-09</t>
        </is>
      </c>
      <c r="I157" t="n">
        <v>20250907</v>
      </c>
      <c r="J157" t="inlineStr">
        <is>
          <t>2025-09-07</t>
        </is>
      </c>
      <c r="K157" s="9" t="n">
        <v>10473.74</v>
      </c>
      <c r="L157" t="inlineStr">
        <is>
          <t>USD</t>
        </is>
      </c>
      <c r="M157" s="4" t="n">
        <v>10473.74</v>
      </c>
      <c r="N157" t="inlineStr">
        <is>
          <t>Paid</t>
        </is>
      </c>
      <c r="O157" t="inlineStr">
        <is>
          <t>False</t>
        </is>
      </c>
      <c r="P157" t="n">
        <v>60</v>
      </c>
      <c r="Q157">
        <f>VLOOKUP(D157,GL_Accounts!$A$2:$E$1048576,5,FALSE)</f>
        <v/>
      </c>
      <c r="R157">
        <f>VLOOKUP(D157,GL_Accounts!$A$2:$E$1048576,4,FALSE)</f>
        <v/>
      </c>
    </row>
    <row r="158">
      <c r="A158" t="inlineStr">
        <is>
          <t>INV200157</t>
        </is>
      </c>
      <c r="B158" t="n">
        <v>21</v>
      </c>
      <c r="C158" t="inlineStr">
        <is>
          <t>V0021</t>
        </is>
      </c>
      <c r="D158" t="n">
        <v>19</v>
      </c>
      <c r="E158" t="n">
        <v>64300</v>
      </c>
      <c r="F158" t="inlineStr">
        <is>
          <t>PO100128</t>
        </is>
      </c>
      <c r="G158" t="n">
        <v>20260309</v>
      </c>
      <c r="H158" t="inlineStr">
        <is>
          <t>2026-03-09</t>
        </is>
      </c>
      <c r="I158" t="n">
        <v>20260508</v>
      </c>
      <c r="J158" t="inlineStr">
        <is>
          <t>2026-05-08</t>
        </is>
      </c>
      <c r="K158" s="9" t="n">
        <v>22801.32</v>
      </c>
      <c r="L158" t="inlineStr">
        <is>
          <t>USD</t>
        </is>
      </c>
      <c r="M158" s="4" t="n">
        <v>22801.32</v>
      </c>
      <c r="N158" t="inlineStr">
        <is>
          <t>Paid</t>
        </is>
      </c>
      <c r="O158" t="inlineStr">
        <is>
          <t>False</t>
        </is>
      </c>
      <c r="P158" t="n">
        <v>60</v>
      </c>
      <c r="Q158">
        <f>VLOOKUP(D158,GL_Accounts!$A$2:$E$1048576,5,FALSE)</f>
        <v/>
      </c>
      <c r="R158">
        <f>VLOOKUP(D158,GL_Accounts!$A$2:$E$1048576,4,FALSE)</f>
        <v/>
      </c>
    </row>
    <row r="159">
      <c r="A159" t="inlineStr">
        <is>
          <t>INV200158</t>
        </is>
      </c>
      <c r="B159" t="n">
        <v>18</v>
      </c>
      <c r="C159" t="inlineStr">
        <is>
          <t>V0018</t>
        </is>
      </c>
      <c r="D159" t="n">
        <v>10</v>
      </c>
      <c r="E159" t="n">
        <v>62100</v>
      </c>
      <c r="F159" t="inlineStr">
        <is>
          <t>PO100129</t>
        </is>
      </c>
      <c r="G159" t="n">
        <v>20250821</v>
      </c>
      <c r="H159" t="inlineStr">
        <is>
          <t>2025-08-21</t>
        </is>
      </c>
      <c r="I159" t="n">
        <v>20250920</v>
      </c>
      <c r="J159" t="inlineStr">
        <is>
          <t>2025-09-20</t>
        </is>
      </c>
      <c r="K159" s="9" t="n">
        <v>1471.28</v>
      </c>
      <c r="L159" t="inlineStr">
        <is>
          <t>USD</t>
        </is>
      </c>
      <c r="M159" s="4" t="n">
        <v>1471.28</v>
      </c>
      <c r="N159" t="inlineStr">
        <is>
          <t>Paid</t>
        </is>
      </c>
      <c r="O159" t="inlineStr">
        <is>
          <t>False</t>
        </is>
      </c>
      <c r="P159" t="n">
        <v>30</v>
      </c>
      <c r="Q159">
        <f>VLOOKUP(D159,GL_Accounts!$A$2:$E$1048576,5,FALSE)</f>
        <v/>
      </c>
      <c r="R159">
        <f>VLOOKUP(D159,GL_Accounts!$A$2:$E$1048576,4,FALSE)</f>
        <v/>
      </c>
    </row>
    <row r="160">
      <c r="A160" t="inlineStr">
        <is>
          <t>INV200159</t>
        </is>
      </c>
      <c r="B160" t="n">
        <v>48</v>
      </c>
      <c r="C160" t="inlineStr">
        <is>
          <t>V0048</t>
        </is>
      </c>
      <c r="D160" t="n">
        <v>4</v>
      </c>
      <c r="E160" t="n">
        <v>60200</v>
      </c>
      <c r="F160" t="inlineStr">
        <is>
          <t>PO100130</t>
        </is>
      </c>
      <c r="G160" t="n">
        <v>20260605</v>
      </c>
      <c r="H160" t="inlineStr">
        <is>
          <t>2026-06-05</t>
        </is>
      </c>
      <c r="I160" t="n">
        <v>20260720</v>
      </c>
      <c r="J160" t="inlineStr">
        <is>
          <t>2026-07-20</t>
        </is>
      </c>
      <c r="K160" s="9" t="n">
        <v>43838.48</v>
      </c>
      <c r="L160" t="inlineStr">
        <is>
          <t>USD</t>
        </is>
      </c>
      <c r="M160" s="4" t="n">
        <v>43838.48</v>
      </c>
      <c r="N160" t="inlineStr">
        <is>
          <t>Unpaid</t>
        </is>
      </c>
      <c r="O160" t="inlineStr">
        <is>
          <t>False</t>
        </is>
      </c>
      <c r="P160" t="n">
        <v>45</v>
      </c>
      <c r="Q160">
        <f>VLOOKUP(D160,GL_Accounts!$A$2:$E$1048576,5,FALSE)</f>
        <v/>
      </c>
      <c r="R160">
        <f>VLOOKUP(D160,GL_Accounts!$A$2:$E$1048576,4,FALSE)</f>
        <v/>
      </c>
    </row>
    <row r="161">
      <c r="A161" t="inlineStr">
        <is>
          <t>INV200160</t>
        </is>
      </c>
      <c r="B161" t="n">
        <v>48</v>
      </c>
      <c r="C161" t="inlineStr">
        <is>
          <t>V0048</t>
        </is>
      </c>
      <c r="D161" t="n">
        <v>3</v>
      </c>
      <c r="E161" t="n">
        <v>60120</v>
      </c>
      <c r="F161" t="inlineStr">
        <is>
          <t>PO100131</t>
        </is>
      </c>
      <c r="G161" t="n">
        <v>20250524</v>
      </c>
      <c r="H161" t="inlineStr">
        <is>
          <t>2025-05-24</t>
        </is>
      </c>
      <c r="I161" t="n">
        <v>20250708</v>
      </c>
      <c r="J161" t="inlineStr">
        <is>
          <t>2025-07-08</t>
        </is>
      </c>
      <c r="K161" s="9" t="n">
        <v>3074.08</v>
      </c>
      <c r="L161" t="inlineStr">
        <is>
          <t>USD</t>
        </is>
      </c>
      <c r="M161" s="4" t="n">
        <v>3074.08</v>
      </c>
      <c r="N161" t="inlineStr">
        <is>
          <t>Paid</t>
        </is>
      </c>
      <c r="O161" t="inlineStr">
        <is>
          <t>False</t>
        </is>
      </c>
      <c r="P161" t="n">
        <v>45</v>
      </c>
      <c r="Q161">
        <f>VLOOKUP(D161,GL_Accounts!$A$2:$E$1048576,5,FALSE)</f>
        <v/>
      </c>
      <c r="R161">
        <f>VLOOKUP(D161,GL_Accounts!$A$2:$E$1048576,4,FALSE)</f>
        <v/>
      </c>
    </row>
    <row r="162">
      <c r="A162" t="inlineStr">
        <is>
          <t>INV200161</t>
        </is>
      </c>
      <c r="B162" t="n">
        <v>48</v>
      </c>
      <c r="C162" t="inlineStr">
        <is>
          <t>V0048</t>
        </is>
      </c>
      <c r="D162" t="n">
        <v>4</v>
      </c>
      <c r="E162" t="n">
        <v>60200</v>
      </c>
      <c r="F162" t="inlineStr">
        <is>
          <t>PO100131</t>
        </is>
      </c>
      <c r="G162" t="n">
        <v>20250614</v>
      </c>
      <c r="H162" t="inlineStr">
        <is>
          <t>2025-06-14</t>
        </is>
      </c>
      <c r="I162" t="n">
        <v>20250729</v>
      </c>
      <c r="J162" t="inlineStr">
        <is>
          <t>2025-07-29</t>
        </is>
      </c>
      <c r="K162" s="9" t="n">
        <v>2890.91</v>
      </c>
      <c r="L162" t="inlineStr">
        <is>
          <t>USD</t>
        </is>
      </c>
      <c r="M162" s="4" t="n">
        <v>2890.91</v>
      </c>
      <c r="N162" t="inlineStr">
        <is>
          <t>Paid</t>
        </is>
      </c>
      <c r="O162" t="inlineStr">
        <is>
          <t>False</t>
        </is>
      </c>
      <c r="P162" t="n">
        <v>45</v>
      </c>
      <c r="Q162">
        <f>VLOOKUP(D162,GL_Accounts!$A$2:$E$1048576,5,FALSE)</f>
        <v/>
      </c>
      <c r="R162">
        <f>VLOOKUP(D162,GL_Accounts!$A$2:$E$1048576,4,FALSE)</f>
        <v/>
      </c>
    </row>
    <row r="163">
      <c r="A163" t="inlineStr">
        <is>
          <t>INV200162</t>
        </is>
      </c>
      <c r="B163" t="n">
        <v>18</v>
      </c>
      <c r="C163" t="inlineStr">
        <is>
          <t>V0018</t>
        </is>
      </c>
      <c r="D163" t="n">
        <v>11</v>
      </c>
      <c r="E163" t="n">
        <v>62200</v>
      </c>
      <c r="F163" t="inlineStr">
        <is>
          <t>PO100132</t>
        </is>
      </c>
      <c r="G163" t="n">
        <v>20260616</v>
      </c>
      <c r="H163" t="inlineStr">
        <is>
          <t>2026-06-16</t>
        </is>
      </c>
      <c r="I163" t="n">
        <v>20260716</v>
      </c>
      <c r="J163" t="inlineStr">
        <is>
          <t>2026-07-16</t>
        </is>
      </c>
      <c r="K163" s="9" t="n">
        <v>2496.01</v>
      </c>
      <c r="L163" t="inlineStr">
        <is>
          <t>USD</t>
        </is>
      </c>
      <c r="M163" s="4" t="n">
        <v>2496.01</v>
      </c>
      <c r="N163" t="inlineStr">
        <is>
          <t>Unpaid</t>
        </is>
      </c>
      <c r="O163" t="inlineStr">
        <is>
          <t>False</t>
        </is>
      </c>
      <c r="P163" t="n">
        <v>30</v>
      </c>
      <c r="Q163">
        <f>VLOOKUP(D163,GL_Accounts!$A$2:$E$1048576,5,FALSE)</f>
        <v/>
      </c>
      <c r="R163">
        <f>VLOOKUP(D163,GL_Accounts!$A$2:$E$1048576,4,FALSE)</f>
        <v/>
      </c>
    </row>
    <row r="164">
      <c r="A164" t="inlineStr">
        <is>
          <t>INV200163</t>
        </is>
      </c>
      <c r="B164" t="n">
        <v>62</v>
      </c>
      <c r="C164" t="inlineStr">
        <is>
          <t>V0002</t>
        </is>
      </c>
      <c r="D164" t="n">
        <v>11</v>
      </c>
      <c r="E164" t="n">
        <v>62200</v>
      </c>
      <c r="F164" t="inlineStr">
        <is>
          <t>PO100133</t>
        </is>
      </c>
      <c r="G164" t="n">
        <v>20260618</v>
      </c>
      <c r="H164" t="inlineStr">
        <is>
          <t>2026-06-18</t>
        </is>
      </c>
      <c r="I164" t="n">
        <v>20260718</v>
      </c>
      <c r="J164" t="inlineStr">
        <is>
          <t>2026-07-18</t>
        </is>
      </c>
      <c r="K164" s="9" t="n">
        <v>2512.55</v>
      </c>
      <c r="L164" t="inlineStr">
        <is>
          <t>USD</t>
        </is>
      </c>
      <c r="M164" s="4" t="n">
        <v>2512.55</v>
      </c>
      <c r="N164" t="inlineStr">
        <is>
          <t>Unpaid</t>
        </is>
      </c>
      <c r="O164" t="inlineStr">
        <is>
          <t>False</t>
        </is>
      </c>
      <c r="P164" t="n">
        <v>30</v>
      </c>
      <c r="Q164">
        <f>VLOOKUP(D164,GL_Accounts!$A$2:$E$1048576,5,FALSE)</f>
        <v/>
      </c>
      <c r="R164">
        <f>VLOOKUP(D164,GL_Accounts!$A$2:$E$1048576,4,FALSE)</f>
        <v/>
      </c>
    </row>
    <row r="165">
      <c r="A165" t="inlineStr">
        <is>
          <t>INV200164</t>
        </is>
      </c>
      <c r="B165" t="n">
        <v>31</v>
      </c>
      <c r="C165" t="inlineStr">
        <is>
          <t>V0031</t>
        </is>
      </c>
      <c r="D165" t="n">
        <v>2</v>
      </c>
      <c r="E165" t="n">
        <v>60110</v>
      </c>
      <c r="F165" t="inlineStr">
        <is>
          <t>PO100134</t>
        </is>
      </c>
      <c r="G165" t="n">
        <v>20251014</v>
      </c>
      <c r="H165" t="inlineStr">
        <is>
          <t>2025-10-14</t>
        </is>
      </c>
      <c r="I165" t="n">
        <v>20251113</v>
      </c>
      <c r="J165" t="inlineStr">
        <is>
          <t>2025-11-13</t>
        </is>
      </c>
      <c r="K165" s="9" t="n">
        <v>17617.1</v>
      </c>
      <c r="L165" t="inlineStr">
        <is>
          <t>USD</t>
        </is>
      </c>
      <c r="M165" s="4" t="n">
        <v>17617.1</v>
      </c>
      <c r="N165" t="inlineStr">
        <is>
          <t>Unpaid</t>
        </is>
      </c>
      <c r="O165" t="inlineStr">
        <is>
          <t>False</t>
        </is>
      </c>
      <c r="P165" t="n">
        <v>30</v>
      </c>
      <c r="Q165">
        <f>VLOOKUP(D165,GL_Accounts!$A$2:$E$1048576,5,FALSE)</f>
        <v/>
      </c>
      <c r="R165">
        <f>VLOOKUP(D165,GL_Accounts!$A$2:$E$1048576,4,FALSE)</f>
        <v/>
      </c>
    </row>
    <row r="166">
      <c r="A166" t="inlineStr">
        <is>
          <t>INV200165</t>
        </is>
      </c>
      <c r="B166" t="n">
        <v>7</v>
      </c>
      <c r="C166" t="inlineStr">
        <is>
          <t>V0007</t>
        </is>
      </c>
      <c r="D166" t="n">
        <v>7</v>
      </c>
      <c r="E166" t="n">
        <v>61200</v>
      </c>
      <c r="F166" t="inlineStr">
        <is>
          <t>PO100135</t>
        </is>
      </c>
      <c r="G166" t="n">
        <v>20250304</v>
      </c>
      <c r="H166" t="inlineStr">
        <is>
          <t>2025-03-04</t>
        </is>
      </c>
      <c r="I166" t="n">
        <v>20250418</v>
      </c>
      <c r="J166" t="inlineStr">
        <is>
          <t>2025-04-18</t>
        </is>
      </c>
      <c r="K166" s="9" t="n">
        <v>7836.47</v>
      </c>
      <c r="L166" t="inlineStr">
        <is>
          <t>USD</t>
        </is>
      </c>
      <c r="M166" s="4" t="n">
        <v>7836.47</v>
      </c>
      <c r="N166" t="inlineStr">
        <is>
          <t>Paid</t>
        </is>
      </c>
      <c r="O166" t="inlineStr">
        <is>
          <t>False</t>
        </is>
      </c>
      <c r="P166" t="n">
        <v>45</v>
      </c>
      <c r="Q166">
        <f>VLOOKUP(D166,GL_Accounts!$A$2:$E$1048576,5,FALSE)</f>
        <v/>
      </c>
      <c r="R166">
        <f>VLOOKUP(D166,GL_Accounts!$A$2:$E$1048576,4,FALSE)</f>
        <v/>
      </c>
    </row>
    <row r="167">
      <c r="A167" t="inlineStr">
        <is>
          <t>INV200166</t>
        </is>
      </c>
      <c r="B167" t="n">
        <v>7</v>
      </c>
      <c r="C167" t="inlineStr">
        <is>
          <t>V0007</t>
        </is>
      </c>
      <c r="D167" t="n">
        <v>7</v>
      </c>
      <c r="E167" t="n">
        <v>61200</v>
      </c>
      <c r="F167" t="inlineStr">
        <is>
          <t>PO100135</t>
        </is>
      </c>
      <c r="G167" t="n">
        <v>20250327</v>
      </c>
      <c r="H167" t="inlineStr">
        <is>
          <t>2025-03-27</t>
        </is>
      </c>
      <c r="I167" t="n">
        <v>20250511</v>
      </c>
      <c r="J167" t="inlineStr">
        <is>
          <t>2025-05-11</t>
        </is>
      </c>
      <c r="K167" s="9" t="n">
        <v>4460.1</v>
      </c>
      <c r="L167" t="inlineStr">
        <is>
          <t>USD</t>
        </is>
      </c>
      <c r="M167" s="4" t="n">
        <v>4460.1</v>
      </c>
      <c r="N167" t="inlineStr">
        <is>
          <t>Paid</t>
        </is>
      </c>
      <c r="O167" t="inlineStr">
        <is>
          <t>False</t>
        </is>
      </c>
      <c r="P167" t="n">
        <v>45</v>
      </c>
      <c r="Q167">
        <f>VLOOKUP(D167,GL_Accounts!$A$2:$E$1048576,5,FALSE)</f>
        <v/>
      </c>
      <c r="R167">
        <f>VLOOKUP(D167,GL_Accounts!$A$2:$E$1048576,4,FALSE)</f>
        <v/>
      </c>
    </row>
    <row r="168">
      <c r="A168" t="inlineStr">
        <is>
          <t>INV200167</t>
        </is>
      </c>
      <c r="B168" t="n">
        <v>33</v>
      </c>
      <c r="C168" t="inlineStr">
        <is>
          <t>V0033</t>
        </is>
      </c>
      <c r="D168" t="n">
        <v>14</v>
      </c>
      <c r="E168" t="n">
        <v>63100</v>
      </c>
      <c r="F168" t="inlineStr">
        <is>
          <t>PO100136</t>
        </is>
      </c>
      <c r="G168" t="n">
        <v>20250712</v>
      </c>
      <c r="H168" t="inlineStr">
        <is>
          <t>2025-07-12</t>
        </is>
      </c>
      <c r="I168" t="n">
        <v>20250910</v>
      </c>
      <c r="J168" t="inlineStr">
        <is>
          <t>2025-09-10</t>
        </is>
      </c>
      <c r="K168" s="9" t="n">
        <v>974.71</v>
      </c>
      <c r="L168" t="inlineStr">
        <is>
          <t>USD</t>
        </is>
      </c>
      <c r="M168" s="4" t="n">
        <v>974.71</v>
      </c>
      <c r="N168" t="inlineStr">
        <is>
          <t>Paid</t>
        </is>
      </c>
      <c r="O168" t="inlineStr">
        <is>
          <t>False</t>
        </is>
      </c>
      <c r="P168" t="n">
        <v>60</v>
      </c>
      <c r="Q168">
        <f>VLOOKUP(D168,GL_Accounts!$A$2:$E$1048576,5,FALSE)</f>
        <v/>
      </c>
      <c r="R168">
        <f>VLOOKUP(D168,GL_Accounts!$A$2:$E$1048576,4,FALSE)</f>
        <v/>
      </c>
    </row>
    <row r="169">
      <c r="A169" t="inlineStr">
        <is>
          <t>INV200168</t>
        </is>
      </c>
      <c r="B169" t="n">
        <v>17</v>
      </c>
      <c r="C169" t="inlineStr">
        <is>
          <t>V0017</t>
        </is>
      </c>
      <c r="D169" t="n">
        <v>9</v>
      </c>
      <c r="E169" t="n">
        <v>61400</v>
      </c>
      <c r="F169" t="inlineStr">
        <is>
          <t>PO100137</t>
        </is>
      </c>
      <c r="G169" t="n">
        <v>20250804</v>
      </c>
      <c r="H169" t="inlineStr">
        <is>
          <t>2025-08-04</t>
        </is>
      </c>
      <c r="I169" t="n">
        <v>20250918</v>
      </c>
      <c r="J169" t="inlineStr">
        <is>
          <t>2025-09-18</t>
        </is>
      </c>
      <c r="K169" s="9" t="n">
        <v>22240.99</v>
      </c>
      <c r="L169" t="inlineStr">
        <is>
          <t>USD</t>
        </is>
      </c>
      <c r="M169" s="4" t="n">
        <v>22240.99</v>
      </c>
      <c r="N169" t="inlineStr">
        <is>
          <t>Paid</t>
        </is>
      </c>
      <c r="O169" t="inlineStr">
        <is>
          <t>False</t>
        </is>
      </c>
      <c r="P169" t="n">
        <v>45</v>
      </c>
      <c r="Q169">
        <f>VLOOKUP(D169,GL_Accounts!$A$2:$E$1048576,5,FALSE)</f>
        <v/>
      </c>
      <c r="R169">
        <f>VLOOKUP(D169,GL_Accounts!$A$2:$E$1048576,4,FALSE)</f>
        <v/>
      </c>
    </row>
    <row r="170">
      <c r="A170" t="inlineStr">
        <is>
          <t>INV200169</t>
        </is>
      </c>
      <c r="B170" t="n">
        <v>48</v>
      </c>
      <c r="C170" t="inlineStr">
        <is>
          <t>V0048</t>
        </is>
      </c>
      <c r="D170" t="n">
        <v>3</v>
      </c>
      <c r="E170" t="n">
        <v>60120</v>
      </c>
      <c r="F170" t="inlineStr">
        <is>
          <t>PO100138</t>
        </is>
      </c>
      <c r="G170" t="n">
        <v>20250308</v>
      </c>
      <c r="H170" t="inlineStr">
        <is>
          <t>2025-03-08</t>
        </is>
      </c>
      <c r="I170" t="n">
        <v>20250422</v>
      </c>
      <c r="J170" t="inlineStr">
        <is>
          <t>2025-04-22</t>
        </is>
      </c>
      <c r="K170" s="9" t="n">
        <v>32621.04</v>
      </c>
      <c r="L170" t="inlineStr">
        <is>
          <t>USD</t>
        </is>
      </c>
      <c r="M170" s="4" t="n">
        <v>32621.04</v>
      </c>
      <c r="N170" t="inlineStr">
        <is>
          <t>Unpaid</t>
        </is>
      </c>
      <c r="O170" t="inlineStr">
        <is>
          <t>False</t>
        </is>
      </c>
      <c r="P170" t="n">
        <v>45</v>
      </c>
      <c r="Q170">
        <f>VLOOKUP(D170,GL_Accounts!$A$2:$E$1048576,5,FALSE)</f>
        <v/>
      </c>
      <c r="R170">
        <f>VLOOKUP(D170,GL_Accounts!$A$2:$E$1048576,4,FALSE)</f>
        <v/>
      </c>
    </row>
    <row r="171">
      <c r="A171" t="inlineStr">
        <is>
          <t>INV200170</t>
        </is>
      </c>
      <c r="B171" t="n">
        <v>48</v>
      </c>
      <c r="C171" t="inlineStr">
        <is>
          <t>V0048</t>
        </is>
      </c>
      <c r="D171" t="n">
        <v>1</v>
      </c>
      <c r="E171" t="n">
        <v>60100</v>
      </c>
      <c r="F171" t="inlineStr">
        <is>
          <t>PO100138</t>
        </is>
      </c>
      <c r="G171" t="n">
        <v>20250317</v>
      </c>
      <c r="H171" t="inlineStr">
        <is>
          <t>2025-03-17</t>
        </is>
      </c>
      <c r="I171" t="n">
        <v>20250501</v>
      </c>
      <c r="J171" t="inlineStr">
        <is>
          <t>2025-05-01</t>
        </is>
      </c>
      <c r="K171" s="9" t="n">
        <v>20765.73</v>
      </c>
      <c r="L171" t="inlineStr">
        <is>
          <t>USD</t>
        </is>
      </c>
      <c r="M171" s="4" t="n">
        <v>20765.73</v>
      </c>
      <c r="N171" t="inlineStr">
        <is>
          <t>Paid</t>
        </is>
      </c>
      <c r="O171" t="inlineStr">
        <is>
          <t>False</t>
        </is>
      </c>
      <c r="P171" t="n">
        <v>45</v>
      </c>
      <c r="Q171">
        <f>VLOOKUP(D171,GL_Accounts!$A$2:$E$1048576,5,FALSE)</f>
        <v/>
      </c>
      <c r="R171">
        <f>VLOOKUP(D171,GL_Accounts!$A$2:$E$1048576,4,FALSE)</f>
        <v/>
      </c>
    </row>
    <row r="172">
      <c r="A172" t="inlineStr">
        <is>
          <t>INV200171</t>
        </is>
      </c>
      <c r="B172" t="n">
        <v>32</v>
      </c>
      <c r="C172" t="inlineStr">
        <is>
          <t>V0032</t>
        </is>
      </c>
      <c r="D172" t="n">
        <v>7</v>
      </c>
      <c r="E172" t="n">
        <v>61200</v>
      </c>
      <c r="F172" t="inlineStr">
        <is>
          <t>PO100139</t>
        </is>
      </c>
      <c r="G172" t="n">
        <v>20250824</v>
      </c>
      <c r="H172" t="inlineStr">
        <is>
          <t>2025-08-24</t>
        </is>
      </c>
      <c r="I172" t="n">
        <v>20251008</v>
      </c>
      <c r="J172" t="inlineStr">
        <is>
          <t>2025-10-08</t>
        </is>
      </c>
      <c r="K172" s="9" t="n">
        <v>7950.5</v>
      </c>
      <c r="L172" t="inlineStr">
        <is>
          <t>USD</t>
        </is>
      </c>
      <c r="M172" s="4" t="n">
        <v>7950.5</v>
      </c>
      <c r="N172" t="inlineStr">
        <is>
          <t>Unpaid</t>
        </is>
      </c>
      <c r="O172" t="inlineStr">
        <is>
          <t>False</t>
        </is>
      </c>
      <c r="P172" t="n">
        <v>45</v>
      </c>
      <c r="Q172">
        <f>VLOOKUP(D172,GL_Accounts!$A$2:$E$1048576,5,FALSE)</f>
        <v/>
      </c>
      <c r="R172">
        <f>VLOOKUP(D172,GL_Accounts!$A$2:$E$1048576,4,FALSE)</f>
        <v/>
      </c>
    </row>
    <row r="173">
      <c r="A173" t="inlineStr">
        <is>
          <t>INV200172</t>
        </is>
      </c>
      <c r="B173" t="n">
        <v>32</v>
      </c>
      <c r="C173" t="inlineStr">
        <is>
          <t>V0032</t>
        </is>
      </c>
      <c r="D173" t="n">
        <v>7</v>
      </c>
      <c r="E173" t="n">
        <v>61200</v>
      </c>
      <c r="F173" t="inlineStr">
        <is>
          <t>PO100139</t>
        </is>
      </c>
      <c r="G173" t="n">
        <v>20250911</v>
      </c>
      <c r="H173" t="inlineStr">
        <is>
          <t>2025-09-11</t>
        </is>
      </c>
      <c r="I173" t="n">
        <v>20251026</v>
      </c>
      <c r="J173" t="inlineStr">
        <is>
          <t>2025-10-26</t>
        </is>
      </c>
      <c r="K173" s="9" t="n">
        <v>4561.11</v>
      </c>
      <c r="L173" t="inlineStr">
        <is>
          <t>USD</t>
        </is>
      </c>
      <c r="M173" s="4" t="n">
        <v>4561.11</v>
      </c>
      <c r="N173" t="inlineStr">
        <is>
          <t>Paid</t>
        </is>
      </c>
      <c r="O173" t="inlineStr">
        <is>
          <t>False</t>
        </is>
      </c>
      <c r="P173" t="n">
        <v>45</v>
      </c>
      <c r="Q173">
        <f>VLOOKUP(D173,GL_Accounts!$A$2:$E$1048576,5,FALSE)</f>
        <v/>
      </c>
      <c r="R173">
        <f>VLOOKUP(D173,GL_Accounts!$A$2:$E$1048576,4,FALSE)</f>
        <v/>
      </c>
    </row>
    <row r="174">
      <c r="A174" t="inlineStr">
        <is>
          <t>INV200173</t>
        </is>
      </c>
      <c r="B174" t="n">
        <v>32</v>
      </c>
      <c r="C174" t="inlineStr">
        <is>
          <t>V0032</t>
        </is>
      </c>
      <c r="D174" t="n">
        <v>7</v>
      </c>
      <c r="E174" t="n">
        <v>61200</v>
      </c>
      <c r="F174" t="inlineStr">
        <is>
          <t>PO100140</t>
        </is>
      </c>
      <c r="G174" t="n">
        <v>20250821</v>
      </c>
      <c r="H174" t="inlineStr">
        <is>
          <t>2025-08-21</t>
        </is>
      </c>
      <c r="I174" t="n">
        <v>20251005</v>
      </c>
      <c r="J174" t="inlineStr">
        <is>
          <t>2025-10-05</t>
        </is>
      </c>
      <c r="K174" s="9" t="n">
        <v>9007.57</v>
      </c>
      <c r="L174" t="inlineStr">
        <is>
          <t>USD</t>
        </is>
      </c>
      <c r="M174" s="4" t="n">
        <v>9007.57</v>
      </c>
      <c r="N174" t="inlineStr">
        <is>
          <t>Paid</t>
        </is>
      </c>
      <c r="O174" t="inlineStr">
        <is>
          <t>False</t>
        </is>
      </c>
      <c r="P174" t="n">
        <v>45</v>
      </c>
      <c r="Q174">
        <f>VLOOKUP(D174,GL_Accounts!$A$2:$E$1048576,5,FALSE)</f>
        <v/>
      </c>
      <c r="R174">
        <f>VLOOKUP(D174,GL_Accounts!$A$2:$E$1048576,4,FALSE)</f>
        <v/>
      </c>
    </row>
    <row r="175">
      <c r="A175" t="inlineStr">
        <is>
          <t>INV200174</t>
        </is>
      </c>
      <c r="B175" t="n">
        <v>32</v>
      </c>
      <c r="C175" t="inlineStr">
        <is>
          <t>V0032</t>
        </is>
      </c>
      <c r="D175" t="n">
        <v>8</v>
      </c>
      <c r="E175" t="n">
        <v>61300</v>
      </c>
      <c r="F175" t="inlineStr">
        <is>
          <t>PO100140</t>
        </is>
      </c>
      <c r="G175" t="n">
        <v>20250913</v>
      </c>
      <c r="H175" t="inlineStr">
        <is>
          <t>2025-09-13</t>
        </is>
      </c>
      <c r="I175" t="n">
        <v>20251028</v>
      </c>
      <c r="J175" t="inlineStr">
        <is>
          <t>2025-10-28</t>
        </is>
      </c>
      <c r="K175" s="9" t="n">
        <v>14278.63</v>
      </c>
      <c r="L175" t="inlineStr">
        <is>
          <t>USD</t>
        </is>
      </c>
      <c r="M175" s="4" t="n">
        <v>14278.63</v>
      </c>
      <c r="N175" t="inlineStr">
        <is>
          <t>Paid</t>
        </is>
      </c>
      <c r="O175" t="inlineStr">
        <is>
          <t>False</t>
        </is>
      </c>
      <c r="P175" t="n">
        <v>45</v>
      </c>
      <c r="Q175">
        <f>VLOOKUP(D175,GL_Accounts!$A$2:$E$1048576,5,FALSE)</f>
        <v/>
      </c>
      <c r="R175">
        <f>VLOOKUP(D175,GL_Accounts!$A$2:$E$1048576,4,FALSE)</f>
        <v/>
      </c>
    </row>
    <row r="176">
      <c r="A176" t="inlineStr">
        <is>
          <t>INV200175</t>
        </is>
      </c>
      <c r="B176" t="n">
        <v>40</v>
      </c>
      <c r="C176" t="inlineStr">
        <is>
          <t>V0040</t>
        </is>
      </c>
      <c r="D176" t="n">
        <v>10</v>
      </c>
      <c r="E176" t="n">
        <v>62100</v>
      </c>
      <c r="F176" t="inlineStr">
        <is>
          <t>PO100142</t>
        </is>
      </c>
      <c r="G176" t="n">
        <v>20241002</v>
      </c>
      <c r="H176" t="inlineStr">
        <is>
          <t>2024-10-02</t>
        </is>
      </c>
      <c r="I176" t="n">
        <v>20241101</v>
      </c>
      <c r="J176" t="inlineStr">
        <is>
          <t>2024-11-01</t>
        </is>
      </c>
      <c r="K176" s="9" t="n">
        <v>649.89</v>
      </c>
      <c r="L176" t="inlineStr">
        <is>
          <t>USD</t>
        </is>
      </c>
      <c r="M176" s="4" t="n">
        <v>649.89</v>
      </c>
      <c r="N176" t="inlineStr">
        <is>
          <t>Paid</t>
        </is>
      </c>
      <c r="O176" t="inlineStr">
        <is>
          <t>False</t>
        </is>
      </c>
      <c r="P176" t="n">
        <v>30</v>
      </c>
      <c r="Q176">
        <f>VLOOKUP(D176,GL_Accounts!$A$2:$E$1048576,5,FALSE)</f>
        <v/>
      </c>
      <c r="R176">
        <f>VLOOKUP(D176,GL_Accounts!$A$2:$E$1048576,4,FALSE)</f>
        <v/>
      </c>
    </row>
    <row r="177">
      <c r="A177" t="inlineStr">
        <is>
          <t>INV200176</t>
        </is>
      </c>
      <c r="B177" t="n">
        <v>27</v>
      </c>
      <c r="C177" t="inlineStr">
        <is>
          <t>V0027</t>
        </is>
      </c>
      <c r="D177" t="n">
        <v>8</v>
      </c>
      <c r="E177" t="n">
        <v>61300</v>
      </c>
      <c r="F177" t="inlineStr">
        <is>
          <t>PO100143</t>
        </is>
      </c>
      <c r="G177" t="n">
        <v>20260310</v>
      </c>
      <c r="H177" t="inlineStr">
        <is>
          <t>2026-03-10</t>
        </is>
      </c>
      <c r="I177" t="n">
        <v>20260409</v>
      </c>
      <c r="J177" t="inlineStr">
        <is>
          <t>2026-04-09</t>
        </is>
      </c>
      <c r="K177" s="9" t="n">
        <v>598.28</v>
      </c>
      <c r="L177" t="inlineStr">
        <is>
          <t>USD</t>
        </is>
      </c>
      <c r="M177" s="4" t="n">
        <v>598.28</v>
      </c>
      <c r="N177" t="inlineStr">
        <is>
          <t>Paid</t>
        </is>
      </c>
      <c r="O177" t="inlineStr">
        <is>
          <t>False</t>
        </is>
      </c>
      <c r="P177" t="n">
        <v>30</v>
      </c>
      <c r="Q177">
        <f>VLOOKUP(D177,GL_Accounts!$A$2:$E$1048576,5,FALSE)</f>
        <v/>
      </c>
      <c r="R177">
        <f>VLOOKUP(D177,GL_Accounts!$A$2:$E$1048576,4,FALSE)</f>
        <v/>
      </c>
    </row>
    <row r="178">
      <c r="A178" t="inlineStr">
        <is>
          <t>INV200177</t>
        </is>
      </c>
      <c r="B178" t="n">
        <v>27</v>
      </c>
      <c r="C178" t="inlineStr">
        <is>
          <t>V0027</t>
        </is>
      </c>
      <c r="D178" t="n">
        <v>9</v>
      </c>
      <c r="E178" t="n">
        <v>61400</v>
      </c>
      <c r="F178" t="inlineStr">
        <is>
          <t>PO100143</t>
        </is>
      </c>
      <c r="G178" t="n">
        <v>20260406</v>
      </c>
      <c r="H178" t="inlineStr">
        <is>
          <t>2026-04-06</t>
        </is>
      </c>
      <c r="I178" t="n">
        <v>20260506</v>
      </c>
      <c r="J178" t="inlineStr">
        <is>
          <t>2026-05-06</t>
        </is>
      </c>
      <c r="K178" s="9" t="n">
        <v>347.26</v>
      </c>
      <c r="L178" t="inlineStr">
        <is>
          <t>USD</t>
        </is>
      </c>
      <c r="M178" s="4" t="n">
        <v>347.26</v>
      </c>
      <c r="N178" t="inlineStr">
        <is>
          <t>Paid</t>
        </is>
      </c>
      <c r="O178" t="inlineStr">
        <is>
          <t>False</t>
        </is>
      </c>
      <c r="P178" t="n">
        <v>30</v>
      </c>
      <c r="Q178">
        <f>VLOOKUP(D178,GL_Accounts!$A$2:$E$1048576,5,FALSE)</f>
        <v/>
      </c>
      <c r="R178">
        <f>VLOOKUP(D178,GL_Accounts!$A$2:$E$1048576,4,FALSE)</f>
        <v/>
      </c>
    </row>
    <row r="179">
      <c r="A179" t="inlineStr">
        <is>
          <t>INV200178</t>
        </is>
      </c>
      <c r="B179" t="n">
        <v>27</v>
      </c>
      <c r="C179" t="inlineStr">
        <is>
          <t>V0027</t>
        </is>
      </c>
      <c r="D179" t="n">
        <v>8</v>
      </c>
      <c r="E179" t="n">
        <v>61300</v>
      </c>
      <c r="F179" t="inlineStr">
        <is>
          <t>PO100143</t>
        </is>
      </c>
      <c r="G179" t="n">
        <v>20260507</v>
      </c>
      <c r="H179" t="inlineStr">
        <is>
          <t>2026-05-07</t>
        </is>
      </c>
      <c r="I179" t="n">
        <v>20260606</v>
      </c>
      <c r="J179" t="inlineStr">
        <is>
          <t>2026-06-06</t>
        </is>
      </c>
      <c r="K179" s="9" t="n">
        <v>1375.5</v>
      </c>
      <c r="L179" t="inlineStr">
        <is>
          <t>USD</t>
        </is>
      </c>
      <c r="M179" s="4" t="n">
        <v>1375.5</v>
      </c>
      <c r="N179" t="inlineStr">
        <is>
          <t>Unpaid</t>
        </is>
      </c>
      <c r="O179" t="inlineStr">
        <is>
          <t>False</t>
        </is>
      </c>
      <c r="P179" t="n">
        <v>30</v>
      </c>
      <c r="Q179">
        <f>VLOOKUP(D179,GL_Accounts!$A$2:$E$1048576,5,FALSE)</f>
        <v/>
      </c>
      <c r="R179">
        <f>VLOOKUP(D179,GL_Accounts!$A$2:$E$1048576,4,FALSE)</f>
        <v/>
      </c>
    </row>
    <row r="180">
      <c r="A180" t="inlineStr">
        <is>
          <t>INV200179</t>
        </is>
      </c>
      <c r="B180" t="n">
        <v>17</v>
      </c>
      <c r="C180" t="inlineStr">
        <is>
          <t>V0017</t>
        </is>
      </c>
      <c r="D180" t="n">
        <v>8</v>
      </c>
      <c r="E180" t="n">
        <v>61300</v>
      </c>
      <c r="F180" t="inlineStr">
        <is>
          <t>PO100144</t>
        </is>
      </c>
      <c r="G180" t="n">
        <v>20250831</v>
      </c>
      <c r="H180" t="inlineStr">
        <is>
          <t>2025-08-31</t>
        </is>
      </c>
      <c r="I180" t="n">
        <v>20251015</v>
      </c>
      <c r="J180" t="inlineStr">
        <is>
          <t>2025-10-15</t>
        </is>
      </c>
      <c r="K180" s="9" t="n">
        <v>7991.61</v>
      </c>
      <c r="L180" t="inlineStr">
        <is>
          <t>USD</t>
        </is>
      </c>
      <c r="M180" s="4" t="n">
        <v>7991.61</v>
      </c>
      <c r="N180" t="inlineStr">
        <is>
          <t>Paid</t>
        </is>
      </c>
      <c r="O180" t="inlineStr">
        <is>
          <t>False</t>
        </is>
      </c>
      <c r="P180" t="n">
        <v>45</v>
      </c>
      <c r="Q180">
        <f>VLOOKUP(D180,GL_Accounts!$A$2:$E$1048576,5,FALSE)</f>
        <v/>
      </c>
      <c r="R180">
        <f>VLOOKUP(D180,GL_Accounts!$A$2:$E$1048576,4,FALSE)</f>
        <v/>
      </c>
    </row>
    <row r="181">
      <c r="A181" t="inlineStr">
        <is>
          <t>INV200180</t>
        </is>
      </c>
      <c r="B181" t="n">
        <v>22</v>
      </c>
      <c r="C181" t="inlineStr">
        <is>
          <t>V0022</t>
        </is>
      </c>
      <c r="D181" t="n">
        <v>6</v>
      </c>
      <c r="E181" t="n">
        <v>61100</v>
      </c>
      <c r="F181" t="inlineStr">
        <is>
          <t>PO100145</t>
        </is>
      </c>
      <c r="G181" t="n">
        <v>20250509</v>
      </c>
      <c r="H181" t="inlineStr">
        <is>
          <t>2025-05-09</t>
        </is>
      </c>
      <c r="I181" t="n">
        <v>20250608</v>
      </c>
      <c r="J181" t="inlineStr">
        <is>
          <t>2025-06-08</t>
        </is>
      </c>
      <c r="K181" s="9" t="n">
        <v>2038.65</v>
      </c>
      <c r="L181" t="inlineStr">
        <is>
          <t>USD</t>
        </is>
      </c>
      <c r="M181" s="4" t="n">
        <v>2038.65</v>
      </c>
      <c r="N181" t="inlineStr">
        <is>
          <t>Paid</t>
        </is>
      </c>
      <c r="O181" t="inlineStr">
        <is>
          <t>False</t>
        </is>
      </c>
      <c r="P181" t="n">
        <v>30</v>
      </c>
      <c r="Q181">
        <f>VLOOKUP(D181,GL_Accounts!$A$2:$E$1048576,5,FALSE)</f>
        <v/>
      </c>
      <c r="R181">
        <f>VLOOKUP(D181,GL_Accounts!$A$2:$E$1048576,4,FALSE)</f>
        <v/>
      </c>
    </row>
    <row r="182">
      <c r="A182" t="inlineStr">
        <is>
          <t>INV200181</t>
        </is>
      </c>
      <c r="B182" t="n">
        <v>42</v>
      </c>
      <c r="C182" t="inlineStr">
        <is>
          <t>V0042</t>
        </is>
      </c>
      <c r="D182" t="n">
        <v>19</v>
      </c>
      <c r="E182" t="n">
        <v>64300</v>
      </c>
      <c r="F182" t="inlineStr">
        <is>
          <t>PO100147</t>
        </is>
      </c>
      <c r="G182" t="n">
        <v>20241201</v>
      </c>
      <c r="H182" t="inlineStr">
        <is>
          <t>2024-12-01</t>
        </is>
      </c>
      <c r="I182" t="n">
        <v>20250115</v>
      </c>
      <c r="J182" t="inlineStr">
        <is>
          <t>2025-01-15</t>
        </is>
      </c>
      <c r="K182" s="9" t="n">
        <v>15268.92</v>
      </c>
      <c r="L182" t="inlineStr">
        <is>
          <t>USD</t>
        </is>
      </c>
      <c r="M182" s="4" t="n">
        <v>15268.92</v>
      </c>
      <c r="N182" t="inlineStr">
        <is>
          <t>Paid</t>
        </is>
      </c>
      <c r="O182" t="inlineStr">
        <is>
          <t>False</t>
        </is>
      </c>
      <c r="P182" t="n">
        <v>45</v>
      </c>
      <c r="Q182">
        <f>VLOOKUP(D182,GL_Accounts!$A$2:$E$1048576,5,FALSE)</f>
        <v/>
      </c>
      <c r="R182">
        <f>VLOOKUP(D182,GL_Accounts!$A$2:$E$1048576,4,FALSE)</f>
        <v/>
      </c>
    </row>
    <row r="183">
      <c r="A183" t="inlineStr">
        <is>
          <t>INV200182</t>
        </is>
      </c>
      <c r="B183" t="n">
        <v>42</v>
      </c>
      <c r="C183" t="inlineStr">
        <is>
          <t>V0042</t>
        </is>
      </c>
      <c r="D183" t="n">
        <v>17</v>
      </c>
      <c r="E183" t="n">
        <v>64100</v>
      </c>
      <c r="F183" t="inlineStr">
        <is>
          <t>PO100147</t>
        </is>
      </c>
      <c r="G183" t="n">
        <v>20250108</v>
      </c>
      <c r="H183" t="inlineStr">
        <is>
          <t>2025-01-08</t>
        </is>
      </c>
      <c r="I183" t="n">
        <v>20250222</v>
      </c>
      <c r="J183" t="inlineStr">
        <is>
          <t>2025-02-22</t>
        </is>
      </c>
      <c r="K183" s="9" t="n">
        <v>13975.16</v>
      </c>
      <c r="L183" t="inlineStr">
        <is>
          <t>USD</t>
        </is>
      </c>
      <c r="M183" s="4" t="n">
        <v>13975.16</v>
      </c>
      <c r="N183" t="inlineStr">
        <is>
          <t>Paid</t>
        </is>
      </c>
      <c r="O183" t="inlineStr">
        <is>
          <t>False</t>
        </is>
      </c>
      <c r="P183" t="n">
        <v>45</v>
      </c>
      <c r="Q183">
        <f>VLOOKUP(D183,GL_Accounts!$A$2:$E$1048576,5,FALSE)</f>
        <v/>
      </c>
      <c r="R183">
        <f>VLOOKUP(D183,GL_Accounts!$A$2:$E$1048576,4,FALSE)</f>
        <v/>
      </c>
    </row>
    <row r="184">
      <c r="A184" t="inlineStr">
        <is>
          <t>INV200183</t>
        </is>
      </c>
      <c r="B184" t="n">
        <v>31</v>
      </c>
      <c r="C184" t="inlineStr">
        <is>
          <t>V0031</t>
        </is>
      </c>
      <c r="D184" t="n">
        <v>1</v>
      </c>
      <c r="E184" t="n">
        <v>60100</v>
      </c>
      <c r="F184" t="inlineStr">
        <is>
          <t>PO100149</t>
        </is>
      </c>
      <c r="G184" t="n">
        <v>20250109</v>
      </c>
      <c r="H184" t="inlineStr">
        <is>
          <t>2025-01-09</t>
        </is>
      </c>
      <c r="I184" t="n">
        <v>20250208</v>
      </c>
      <c r="J184" t="inlineStr">
        <is>
          <t>2025-02-08</t>
        </is>
      </c>
      <c r="K184" s="9" t="n">
        <v>44690.67</v>
      </c>
      <c r="L184" t="inlineStr">
        <is>
          <t>USD</t>
        </is>
      </c>
      <c r="M184" s="4" t="n">
        <v>44690.67</v>
      </c>
      <c r="N184" t="inlineStr">
        <is>
          <t>Paid</t>
        </is>
      </c>
      <c r="O184" t="inlineStr">
        <is>
          <t>False</t>
        </is>
      </c>
      <c r="P184" t="n">
        <v>30</v>
      </c>
      <c r="Q184">
        <f>VLOOKUP(D184,GL_Accounts!$A$2:$E$1048576,5,FALSE)</f>
        <v/>
      </c>
      <c r="R184">
        <f>VLOOKUP(D184,GL_Accounts!$A$2:$E$1048576,4,FALSE)</f>
        <v/>
      </c>
    </row>
    <row r="185">
      <c r="A185" t="inlineStr">
        <is>
          <t>INV200184</t>
        </is>
      </c>
      <c r="B185" t="n">
        <v>9</v>
      </c>
      <c r="C185" t="inlineStr">
        <is>
          <t>V0009</t>
        </is>
      </c>
      <c r="D185" t="n">
        <v>6</v>
      </c>
      <c r="E185" t="n">
        <v>61100</v>
      </c>
      <c r="F185" t="inlineStr">
        <is>
          <t>PO100150</t>
        </is>
      </c>
      <c r="G185" t="n">
        <v>20260402</v>
      </c>
      <c r="H185" t="inlineStr">
        <is>
          <t>2026-04-02</t>
        </is>
      </c>
      <c r="I185" t="n">
        <v>20260417</v>
      </c>
      <c r="J185" t="inlineStr">
        <is>
          <t>2026-04-17</t>
        </is>
      </c>
      <c r="K185" s="9" t="n">
        <v>4520.99</v>
      </c>
      <c r="L185" t="inlineStr">
        <is>
          <t>USD</t>
        </is>
      </c>
      <c r="M185" s="4" t="n">
        <v>4520.99</v>
      </c>
      <c r="N185" t="inlineStr">
        <is>
          <t>Paid</t>
        </is>
      </c>
      <c r="O185" t="inlineStr">
        <is>
          <t>False</t>
        </is>
      </c>
      <c r="P185" t="n">
        <v>15</v>
      </c>
      <c r="Q185">
        <f>VLOOKUP(D185,GL_Accounts!$A$2:$E$1048576,5,FALSE)</f>
        <v/>
      </c>
      <c r="R185">
        <f>VLOOKUP(D185,GL_Accounts!$A$2:$E$1048576,4,FALSE)</f>
        <v/>
      </c>
    </row>
    <row r="186">
      <c r="A186" t="inlineStr">
        <is>
          <t>INV200185</t>
        </is>
      </c>
      <c r="B186" t="n">
        <v>9</v>
      </c>
      <c r="C186" t="inlineStr">
        <is>
          <t>V0009</t>
        </is>
      </c>
      <c r="D186" t="n">
        <v>7</v>
      </c>
      <c r="E186" t="n">
        <v>61200</v>
      </c>
      <c r="F186" t="inlineStr">
        <is>
          <t>PO100151</t>
        </is>
      </c>
      <c r="G186" t="n">
        <v>20250403</v>
      </c>
      <c r="H186" t="inlineStr">
        <is>
          <t>2025-04-03</t>
        </is>
      </c>
      <c r="I186" t="n">
        <v>20250418</v>
      </c>
      <c r="J186" t="inlineStr">
        <is>
          <t>2025-04-18</t>
        </is>
      </c>
      <c r="K186" s="9" t="n">
        <v>2710.09</v>
      </c>
      <c r="L186" t="inlineStr">
        <is>
          <t>USD</t>
        </is>
      </c>
      <c r="M186" s="4" t="n">
        <v>2710.09</v>
      </c>
      <c r="N186" t="inlineStr">
        <is>
          <t>Paid</t>
        </is>
      </c>
      <c r="O186" t="inlineStr">
        <is>
          <t>False</t>
        </is>
      </c>
      <c r="P186" t="n">
        <v>15</v>
      </c>
      <c r="Q186">
        <f>VLOOKUP(D186,GL_Accounts!$A$2:$E$1048576,5,FALSE)</f>
        <v/>
      </c>
      <c r="R186">
        <f>VLOOKUP(D186,GL_Accounts!$A$2:$E$1048576,4,FALSE)</f>
        <v/>
      </c>
    </row>
    <row r="187">
      <c r="A187" t="inlineStr">
        <is>
          <t>INV200186</t>
        </is>
      </c>
      <c r="B187" t="n">
        <v>9</v>
      </c>
      <c r="C187" t="inlineStr">
        <is>
          <t>V0009</t>
        </is>
      </c>
      <c r="D187" t="n">
        <v>9</v>
      </c>
      <c r="E187" t="n">
        <v>61400</v>
      </c>
      <c r="F187" t="inlineStr">
        <is>
          <t>PO100151</t>
        </is>
      </c>
      <c r="G187" t="n">
        <v>20250502</v>
      </c>
      <c r="H187" t="inlineStr">
        <is>
          <t>2025-05-02</t>
        </is>
      </c>
      <c r="I187" t="n">
        <v>20250517</v>
      </c>
      <c r="J187" t="inlineStr">
        <is>
          <t>2025-05-17</t>
        </is>
      </c>
      <c r="K187" s="9" t="n">
        <v>7448.17</v>
      </c>
      <c r="L187" t="inlineStr">
        <is>
          <t>USD</t>
        </is>
      </c>
      <c r="M187" s="4" t="n">
        <v>7448.17</v>
      </c>
      <c r="N187" t="inlineStr">
        <is>
          <t>Paid</t>
        </is>
      </c>
      <c r="O187" t="inlineStr">
        <is>
          <t>False</t>
        </is>
      </c>
      <c r="P187" t="n">
        <v>15</v>
      </c>
      <c r="Q187">
        <f>VLOOKUP(D187,GL_Accounts!$A$2:$E$1048576,5,FALSE)</f>
        <v/>
      </c>
      <c r="R187">
        <f>VLOOKUP(D187,GL_Accounts!$A$2:$E$1048576,4,FALSE)</f>
        <v/>
      </c>
    </row>
    <row r="188">
      <c r="A188" t="inlineStr">
        <is>
          <t>INV200187</t>
        </is>
      </c>
      <c r="B188" t="n">
        <v>21</v>
      </c>
      <c r="C188" t="inlineStr">
        <is>
          <t>V0021</t>
        </is>
      </c>
      <c r="D188" t="n">
        <v>18</v>
      </c>
      <c r="E188" t="n">
        <v>64200</v>
      </c>
      <c r="F188" t="inlineStr">
        <is>
          <t>PO100152</t>
        </is>
      </c>
      <c r="G188" t="n">
        <v>20250517</v>
      </c>
      <c r="H188" t="inlineStr">
        <is>
          <t>2025-05-17</t>
        </is>
      </c>
      <c r="I188" t="n">
        <v>20250716</v>
      </c>
      <c r="J188" t="inlineStr">
        <is>
          <t>2025-07-16</t>
        </is>
      </c>
      <c r="K188" s="9" t="n">
        <v>9590.18</v>
      </c>
      <c r="L188" t="inlineStr">
        <is>
          <t>USD</t>
        </is>
      </c>
      <c r="M188" s="4" t="n">
        <v>9590.18</v>
      </c>
      <c r="N188" t="inlineStr">
        <is>
          <t>Paid</t>
        </is>
      </c>
      <c r="O188" t="inlineStr">
        <is>
          <t>False</t>
        </is>
      </c>
      <c r="P188" t="n">
        <v>60</v>
      </c>
      <c r="Q188">
        <f>VLOOKUP(D188,GL_Accounts!$A$2:$E$1048576,5,FALSE)</f>
        <v/>
      </c>
      <c r="R188">
        <f>VLOOKUP(D188,GL_Accounts!$A$2:$E$1048576,4,FALSE)</f>
        <v/>
      </c>
    </row>
    <row r="189">
      <c r="A189" t="inlineStr">
        <is>
          <t>INV200188</t>
        </is>
      </c>
      <c r="B189" t="n">
        <v>9</v>
      </c>
      <c r="C189" t="inlineStr">
        <is>
          <t>V0009</t>
        </is>
      </c>
      <c r="D189" t="n">
        <v>8</v>
      </c>
      <c r="E189" t="n">
        <v>61300</v>
      </c>
      <c r="F189" t="inlineStr">
        <is>
          <t>PO100153</t>
        </is>
      </c>
      <c r="G189" t="n">
        <v>20251020</v>
      </c>
      <c r="H189" t="inlineStr">
        <is>
          <t>2025-10-20</t>
        </is>
      </c>
      <c r="I189" t="n">
        <v>20251104</v>
      </c>
      <c r="J189" t="inlineStr">
        <is>
          <t>2025-11-04</t>
        </is>
      </c>
      <c r="K189" s="9" t="n">
        <v>2904.58</v>
      </c>
      <c r="L189" t="inlineStr">
        <is>
          <t>USD</t>
        </is>
      </c>
      <c r="M189" s="4" t="n">
        <v>2904.58</v>
      </c>
      <c r="N189" t="inlineStr">
        <is>
          <t>Paid</t>
        </is>
      </c>
      <c r="O189" t="inlineStr">
        <is>
          <t>False</t>
        </is>
      </c>
      <c r="P189" t="n">
        <v>15</v>
      </c>
      <c r="Q189">
        <f>VLOOKUP(D189,GL_Accounts!$A$2:$E$1048576,5,FALSE)</f>
        <v/>
      </c>
      <c r="R189">
        <f>VLOOKUP(D189,GL_Accounts!$A$2:$E$1048576,4,FALSE)</f>
        <v/>
      </c>
    </row>
    <row r="190">
      <c r="A190" t="inlineStr">
        <is>
          <t>INV200189</t>
        </is>
      </c>
      <c r="B190" t="n">
        <v>40</v>
      </c>
      <c r="C190" t="inlineStr">
        <is>
          <t>V0040</t>
        </is>
      </c>
      <c r="D190" t="n">
        <v>13</v>
      </c>
      <c r="E190" t="n">
        <v>62400</v>
      </c>
      <c r="F190" t="inlineStr">
        <is>
          <t>PO100154</t>
        </is>
      </c>
      <c r="G190" t="n">
        <v>20260610</v>
      </c>
      <c r="H190" t="inlineStr">
        <is>
          <t>2026-06-10</t>
        </is>
      </c>
      <c r="I190" t="n">
        <v>20260710</v>
      </c>
      <c r="J190" t="inlineStr">
        <is>
          <t>2026-07-10</t>
        </is>
      </c>
      <c r="K190" s="9" t="n">
        <v>2807.47</v>
      </c>
      <c r="L190" t="inlineStr">
        <is>
          <t>USD</t>
        </is>
      </c>
      <c r="M190" s="4" t="n">
        <v>2807.47</v>
      </c>
      <c r="N190" t="inlineStr">
        <is>
          <t>Unpaid</t>
        </is>
      </c>
      <c r="O190" t="inlineStr">
        <is>
          <t>False</t>
        </is>
      </c>
      <c r="P190" t="n">
        <v>30</v>
      </c>
      <c r="Q190">
        <f>VLOOKUP(D190,GL_Accounts!$A$2:$E$1048576,5,FALSE)</f>
        <v/>
      </c>
      <c r="R190">
        <f>VLOOKUP(D190,GL_Accounts!$A$2:$E$1048576,4,FALSE)</f>
        <v/>
      </c>
    </row>
    <row r="191">
      <c r="A191" t="inlineStr">
        <is>
          <t>INV200190</t>
        </is>
      </c>
      <c r="B191" t="n">
        <v>40</v>
      </c>
      <c r="C191" t="inlineStr">
        <is>
          <t>V0040</t>
        </is>
      </c>
      <c r="D191" t="n">
        <v>10</v>
      </c>
      <c r="E191" t="n">
        <v>62100</v>
      </c>
      <c r="F191" t="inlineStr">
        <is>
          <t>PO100154</t>
        </is>
      </c>
      <c r="G191" t="n">
        <v>20260706</v>
      </c>
      <c r="H191" t="inlineStr">
        <is>
          <t>2026-07-06</t>
        </is>
      </c>
      <c r="I191" t="n">
        <v>20260805</v>
      </c>
      <c r="J191" t="inlineStr">
        <is>
          <t>2026-08-05</t>
        </is>
      </c>
      <c r="K191" s="9" t="n">
        <v>985.38</v>
      </c>
      <c r="L191" t="inlineStr">
        <is>
          <t>USD</t>
        </is>
      </c>
      <c r="M191" s="4" t="n">
        <v>985.38</v>
      </c>
      <c r="N191" t="inlineStr">
        <is>
          <t>Paid</t>
        </is>
      </c>
      <c r="O191" t="inlineStr">
        <is>
          <t>False</t>
        </is>
      </c>
      <c r="P191" t="n">
        <v>30</v>
      </c>
      <c r="Q191">
        <f>VLOOKUP(D191,GL_Accounts!$A$2:$E$1048576,5,FALSE)</f>
        <v/>
      </c>
      <c r="R191">
        <f>VLOOKUP(D191,GL_Accounts!$A$2:$E$1048576,4,FALSE)</f>
        <v/>
      </c>
    </row>
    <row r="192">
      <c r="A192" t="inlineStr">
        <is>
          <t>INV200191</t>
        </is>
      </c>
      <c r="B192" t="n">
        <v>11</v>
      </c>
      <c r="C192" t="inlineStr">
        <is>
          <t>V0011</t>
        </is>
      </c>
      <c r="D192" t="n">
        <v>7</v>
      </c>
      <c r="E192" t="n">
        <v>61200</v>
      </c>
      <c r="F192" t="inlineStr">
        <is>
          <t>PO100155</t>
        </is>
      </c>
      <c r="G192" t="n">
        <v>20250325</v>
      </c>
      <c r="H192" t="inlineStr">
        <is>
          <t>2025-03-25</t>
        </is>
      </c>
      <c r="I192" t="n">
        <v>20250509</v>
      </c>
      <c r="J192" t="inlineStr">
        <is>
          <t>2025-05-09</t>
        </is>
      </c>
      <c r="K192" s="9" t="n">
        <v>8049.16</v>
      </c>
      <c r="L192" t="inlineStr">
        <is>
          <t>GBP</t>
        </is>
      </c>
      <c r="M192" s="4" t="n">
        <v>10222.43</v>
      </c>
      <c r="N192" t="inlineStr">
        <is>
          <t>Paid</t>
        </is>
      </c>
      <c r="O192" t="inlineStr">
        <is>
          <t>False</t>
        </is>
      </c>
      <c r="P192" t="n">
        <v>45</v>
      </c>
      <c r="Q192">
        <f>VLOOKUP(D192,GL_Accounts!$A$2:$E$1048576,5,FALSE)</f>
        <v/>
      </c>
      <c r="R192">
        <f>VLOOKUP(D192,GL_Accounts!$A$2:$E$1048576,4,FALSE)</f>
        <v/>
      </c>
    </row>
    <row r="193">
      <c r="A193" t="inlineStr">
        <is>
          <t>INV200192</t>
        </is>
      </c>
      <c r="B193" t="n">
        <v>38</v>
      </c>
      <c r="C193" t="inlineStr">
        <is>
          <t>V0038</t>
        </is>
      </c>
      <c r="D193" t="n">
        <v>9</v>
      </c>
      <c r="E193" t="n">
        <v>61400</v>
      </c>
      <c r="F193" t="inlineStr">
        <is>
          <t>PO100156</t>
        </is>
      </c>
      <c r="G193" t="n">
        <v>20250615</v>
      </c>
      <c r="H193" t="inlineStr">
        <is>
          <t>2025-06-15</t>
        </is>
      </c>
      <c r="I193" t="n">
        <v>20250730</v>
      </c>
      <c r="J193" t="inlineStr">
        <is>
          <t>2025-07-30</t>
        </is>
      </c>
      <c r="K193" s="9" t="n">
        <v>12683.74</v>
      </c>
      <c r="L193" t="inlineStr">
        <is>
          <t>USD</t>
        </is>
      </c>
      <c r="M193" s="4" t="n">
        <v>12683.74</v>
      </c>
      <c r="N193" t="inlineStr">
        <is>
          <t>Paid</t>
        </is>
      </c>
      <c r="O193" t="inlineStr">
        <is>
          <t>False</t>
        </is>
      </c>
      <c r="P193" t="n">
        <v>45</v>
      </c>
      <c r="Q193">
        <f>VLOOKUP(D193,GL_Accounts!$A$2:$E$1048576,5,FALSE)</f>
        <v/>
      </c>
      <c r="R193">
        <f>VLOOKUP(D193,GL_Accounts!$A$2:$E$1048576,4,FALSE)</f>
        <v/>
      </c>
    </row>
    <row r="194">
      <c r="A194" t="inlineStr">
        <is>
          <t>INV200193</t>
        </is>
      </c>
      <c r="B194" t="n">
        <v>30</v>
      </c>
      <c r="C194" t="inlineStr">
        <is>
          <t>V0030</t>
        </is>
      </c>
      <c r="D194" t="n">
        <v>18</v>
      </c>
      <c r="E194" t="n">
        <v>64200</v>
      </c>
      <c r="F194" t="inlineStr">
        <is>
          <t>PO100157</t>
        </is>
      </c>
      <c r="G194" t="n">
        <v>20260324</v>
      </c>
      <c r="H194" t="inlineStr">
        <is>
          <t>2026-03-24</t>
        </is>
      </c>
      <c r="I194" t="n">
        <v>20260423</v>
      </c>
      <c r="J194" t="inlineStr">
        <is>
          <t>2026-04-23</t>
        </is>
      </c>
      <c r="K194" s="9" t="n">
        <v>23654.16</v>
      </c>
      <c r="L194" t="inlineStr">
        <is>
          <t>USD</t>
        </is>
      </c>
      <c r="M194" s="4" t="n">
        <v>23654.16</v>
      </c>
      <c r="N194" t="inlineStr">
        <is>
          <t>Paid</t>
        </is>
      </c>
      <c r="O194" t="inlineStr">
        <is>
          <t>False</t>
        </is>
      </c>
      <c r="P194" t="n">
        <v>30</v>
      </c>
      <c r="Q194">
        <f>VLOOKUP(D194,GL_Accounts!$A$2:$E$1048576,5,FALSE)</f>
        <v/>
      </c>
      <c r="R194">
        <f>VLOOKUP(D194,GL_Accounts!$A$2:$E$1048576,4,FALSE)</f>
        <v/>
      </c>
    </row>
    <row r="195">
      <c r="A195" t="inlineStr">
        <is>
          <t>INV200194</t>
        </is>
      </c>
      <c r="B195" t="n">
        <v>20</v>
      </c>
      <c r="C195" t="inlineStr">
        <is>
          <t>V0020</t>
        </is>
      </c>
      <c r="D195" t="n">
        <v>8</v>
      </c>
      <c r="E195" t="n">
        <v>61300</v>
      </c>
      <c r="F195" t="inlineStr">
        <is>
          <t>PO100158</t>
        </is>
      </c>
      <c r="G195" t="n">
        <v>20251231</v>
      </c>
      <c r="H195" t="inlineStr">
        <is>
          <t>2025-12-31</t>
        </is>
      </c>
      <c r="I195" t="n">
        <v>20260115</v>
      </c>
      <c r="J195" t="inlineStr">
        <is>
          <t>2026-01-15</t>
        </is>
      </c>
      <c r="K195" s="9" t="n">
        <v>3875.81</v>
      </c>
      <c r="L195" t="inlineStr">
        <is>
          <t>USD</t>
        </is>
      </c>
      <c r="M195" s="4" t="n">
        <v>3875.81</v>
      </c>
      <c r="N195" t="inlineStr">
        <is>
          <t>Paid</t>
        </is>
      </c>
      <c r="O195" t="inlineStr">
        <is>
          <t>False</t>
        </is>
      </c>
      <c r="P195" t="n">
        <v>15</v>
      </c>
      <c r="Q195">
        <f>VLOOKUP(D195,GL_Accounts!$A$2:$E$1048576,5,FALSE)</f>
        <v/>
      </c>
      <c r="R195">
        <f>VLOOKUP(D195,GL_Accounts!$A$2:$E$1048576,4,FALSE)</f>
        <v/>
      </c>
    </row>
    <row r="196">
      <c r="A196" t="inlineStr">
        <is>
          <t>INV200195</t>
        </is>
      </c>
      <c r="B196" t="n">
        <v>20</v>
      </c>
      <c r="C196" t="inlineStr">
        <is>
          <t>V0020</t>
        </is>
      </c>
      <c r="D196" t="n">
        <v>6</v>
      </c>
      <c r="E196" t="n">
        <v>61100</v>
      </c>
      <c r="F196" t="inlineStr">
        <is>
          <t>PO100158</t>
        </is>
      </c>
      <c r="G196" t="n">
        <v>20260123</v>
      </c>
      <c r="H196" t="inlineStr">
        <is>
          <t>2026-01-23</t>
        </is>
      </c>
      <c r="I196" t="n">
        <v>20260207</v>
      </c>
      <c r="J196" t="inlineStr">
        <is>
          <t>2026-02-07</t>
        </is>
      </c>
      <c r="K196" s="9" t="n">
        <v>3662.07</v>
      </c>
      <c r="L196" t="inlineStr">
        <is>
          <t>USD</t>
        </is>
      </c>
      <c r="M196" s="4" t="n">
        <v>3662.07</v>
      </c>
      <c r="N196" t="inlineStr">
        <is>
          <t>Paid</t>
        </is>
      </c>
      <c r="O196" t="inlineStr">
        <is>
          <t>False</t>
        </is>
      </c>
      <c r="P196" t="n">
        <v>15</v>
      </c>
      <c r="Q196">
        <f>VLOOKUP(D196,GL_Accounts!$A$2:$E$1048576,5,FALSE)</f>
        <v/>
      </c>
      <c r="R196">
        <f>VLOOKUP(D196,GL_Accounts!$A$2:$E$1048576,4,FALSE)</f>
        <v/>
      </c>
    </row>
    <row r="197">
      <c r="A197" t="inlineStr">
        <is>
          <t>INV200196</t>
        </is>
      </c>
      <c r="B197" t="n">
        <v>20</v>
      </c>
      <c r="C197" t="inlineStr">
        <is>
          <t>V0020</t>
        </is>
      </c>
      <c r="D197" t="n">
        <v>7</v>
      </c>
      <c r="E197" t="n">
        <v>61200</v>
      </c>
      <c r="F197" t="inlineStr">
        <is>
          <t>PO100158</t>
        </is>
      </c>
      <c r="G197" t="n">
        <v>20260213</v>
      </c>
      <c r="H197" t="inlineStr">
        <is>
          <t>2026-02-13</t>
        </is>
      </c>
      <c r="I197" t="n">
        <v>20260228</v>
      </c>
      <c r="J197" t="inlineStr">
        <is>
          <t>2026-02-28</t>
        </is>
      </c>
      <c r="K197" s="9" t="n">
        <v>2581.85</v>
      </c>
      <c r="L197" t="inlineStr">
        <is>
          <t>USD</t>
        </is>
      </c>
      <c r="M197" s="4" t="n">
        <v>2581.85</v>
      </c>
      <c r="N197" t="inlineStr">
        <is>
          <t>Paid</t>
        </is>
      </c>
      <c r="O197" t="inlineStr">
        <is>
          <t>False</t>
        </is>
      </c>
      <c r="P197" t="n">
        <v>15</v>
      </c>
      <c r="Q197">
        <f>VLOOKUP(D197,GL_Accounts!$A$2:$E$1048576,5,FALSE)</f>
        <v/>
      </c>
      <c r="R197">
        <f>VLOOKUP(D197,GL_Accounts!$A$2:$E$1048576,4,FALSE)</f>
        <v/>
      </c>
    </row>
    <row r="198">
      <c r="A198" t="inlineStr">
        <is>
          <t>INV200197</t>
        </is>
      </c>
      <c r="B198" t="n">
        <v>43</v>
      </c>
      <c r="C198" t="inlineStr">
        <is>
          <t>V0043</t>
        </is>
      </c>
      <c r="D198" t="n">
        <v>8</v>
      </c>
      <c r="E198" t="n">
        <v>61300</v>
      </c>
      <c r="F198" t="inlineStr">
        <is>
          <t>PO100159</t>
        </is>
      </c>
      <c r="G198" t="n">
        <v>20250228</v>
      </c>
      <c r="H198" t="inlineStr">
        <is>
          <t>2025-02-28</t>
        </is>
      </c>
      <c r="I198" t="n">
        <v>20250330</v>
      </c>
      <c r="J198" t="inlineStr">
        <is>
          <t>2025-03-30</t>
        </is>
      </c>
      <c r="K198" s="9" t="n">
        <v>7032.42</v>
      </c>
      <c r="L198" t="inlineStr">
        <is>
          <t>USD</t>
        </is>
      </c>
      <c r="M198" s="4" t="n">
        <v>7032.42</v>
      </c>
      <c r="N198" t="inlineStr">
        <is>
          <t>Paid</t>
        </is>
      </c>
      <c r="O198" t="inlineStr">
        <is>
          <t>False</t>
        </is>
      </c>
      <c r="P198" t="n">
        <v>30</v>
      </c>
      <c r="Q198">
        <f>VLOOKUP(D198,GL_Accounts!$A$2:$E$1048576,5,FALSE)</f>
        <v/>
      </c>
      <c r="R198">
        <f>VLOOKUP(D198,GL_Accounts!$A$2:$E$1048576,4,FALSE)</f>
        <v/>
      </c>
    </row>
    <row r="199">
      <c r="A199" t="inlineStr">
        <is>
          <t>INV200198</t>
        </is>
      </c>
      <c r="B199" t="n">
        <v>25</v>
      </c>
      <c r="C199" t="inlineStr">
        <is>
          <t>V0025</t>
        </is>
      </c>
      <c r="D199" t="n">
        <v>7</v>
      </c>
      <c r="E199" t="n">
        <v>61200</v>
      </c>
      <c r="F199" t="inlineStr">
        <is>
          <t>PO100161</t>
        </is>
      </c>
      <c r="G199" t="n">
        <v>20260507</v>
      </c>
      <c r="H199" t="inlineStr">
        <is>
          <t>2026-05-07</t>
        </is>
      </c>
      <c r="I199" t="n">
        <v>20260606</v>
      </c>
      <c r="J199" t="inlineStr">
        <is>
          <t>2026-06-06</t>
        </is>
      </c>
      <c r="K199" s="9" t="n">
        <v>11567.84</v>
      </c>
      <c r="L199" t="inlineStr">
        <is>
          <t>GBP</t>
        </is>
      </c>
      <c r="M199" s="4" t="n">
        <v>14691.16</v>
      </c>
      <c r="N199" t="inlineStr">
        <is>
          <t>Unpaid</t>
        </is>
      </c>
      <c r="O199" t="inlineStr">
        <is>
          <t>False</t>
        </is>
      </c>
      <c r="P199" t="n">
        <v>30</v>
      </c>
      <c r="Q199">
        <f>VLOOKUP(D199,GL_Accounts!$A$2:$E$1048576,5,FALSE)</f>
        <v/>
      </c>
      <c r="R199">
        <f>VLOOKUP(D199,GL_Accounts!$A$2:$E$1048576,4,FALSE)</f>
        <v/>
      </c>
    </row>
    <row r="200">
      <c r="A200" t="inlineStr">
        <is>
          <t>INV200199</t>
        </is>
      </c>
      <c r="B200" t="n">
        <v>35</v>
      </c>
      <c r="C200" t="inlineStr">
        <is>
          <t>V0035</t>
        </is>
      </c>
      <c r="D200" t="n">
        <v>6</v>
      </c>
      <c r="E200" t="n">
        <v>61100</v>
      </c>
      <c r="F200" t="inlineStr">
        <is>
          <t>PO100162</t>
        </is>
      </c>
      <c r="G200" t="n">
        <v>20250309</v>
      </c>
      <c r="H200" t="inlineStr">
        <is>
          <t>2025-03-09</t>
        </is>
      </c>
      <c r="I200" t="n">
        <v>20250408</v>
      </c>
      <c r="J200" t="inlineStr">
        <is>
          <t>2025-04-08</t>
        </is>
      </c>
      <c r="K200" s="9" t="n">
        <v>2880.4</v>
      </c>
      <c r="L200" t="inlineStr">
        <is>
          <t>GBP</t>
        </is>
      </c>
      <c r="M200" s="4" t="n">
        <v>3658.11</v>
      </c>
      <c r="N200" t="inlineStr">
        <is>
          <t>Paid</t>
        </is>
      </c>
      <c r="O200" t="inlineStr">
        <is>
          <t>False</t>
        </is>
      </c>
      <c r="P200" t="n">
        <v>30</v>
      </c>
      <c r="Q200">
        <f>VLOOKUP(D200,GL_Accounts!$A$2:$E$1048576,5,FALSE)</f>
        <v/>
      </c>
      <c r="R200">
        <f>VLOOKUP(D200,GL_Accounts!$A$2:$E$1048576,4,FALSE)</f>
        <v/>
      </c>
    </row>
    <row r="201">
      <c r="A201" t="inlineStr">
        <is>
          <t>INV200200</t>
        </is>
      </c>
      <c r="B201" t="n">
        <v>35</v>
      </c>
      <c r="C201" t="inlineStr">
        <is>
          <t>V0035</t>
        </is>
      </c>
      <c r="D201" t="n">
        <v>6</v>
      </c>
      <c r="E201" t="n">
        <v>61100</v>
      </c>
      <c r="F201" t="inlineStr">
        <is>
          <t>PO100162</t>
        </is>
      </c>
      <c r="G201" t="n">
        <v>20250331</v>
      </c>
      <c r="H201" t="inlineStr">
        <is>
          <t>2025-03-31</t>
        </is>
      </c>
      <c r="I201" t="n">
        <v>20250430</v>
      </c>
      <c r="J201" t="inlineStr">
        <is>
          <t>2025-04-30</t>
        </is>
      </c>
      <c r="K201" s="9" t="n">
        <v>4489.09</v>
      </c>
      <c r="L201" t="inlineStr">
        <is>
          <t>GBP</t>
        </is>
      </c>
      <c r="M201" s="4" t="n">
        <v>5701.14</v>
      </c>
      <c r="N201" t="inlineStr">
        <is>
          <t>Paid</t>
        </is>
      </c>
      <c r="O201" t="inlineStr">
        <is>
          <t>False</t>
        </is>
      </c>
      <c r="P201" t="n">
        <v>30</v>
      </c>
      <c r="Q201">
        <f>VLOOKUP(D201,GL_Accounts!$A$2:$E$1048576,5,FALSE)</f>
        <v/>
      </c>
      <c r="R201">
        <f>VLOOKUP(D201,GL_Accounts!$A$2:$E$1048576,4,FALSE)</f>
        <v/>
      </c>
    </row>
    <row r="202">
      <c r="A202" t="inlineStr">
        <is>
          <t>INV200201</t>
        </is>
      </c>
      <c r="B202" t="n">
        <v>2</v>
      </c>
      <c r="C202" t="inlineStr">
        <is>
          <t>V0002</t>
        </is>
      </c>
      <c r="D202" t="n">
        <v>12</v>
      </c>
      <c r="E202" t="n">
        <v>62300</v>
      </c>
      <c r="F202" t="inlineStr">
        <is>
          <t>PO100163</t>
        </is>
      </c>
      <c r="G202" t="n">
        <v>20250304</v>
      </c>
      <c r="H202" t="inlineStr">
        <is>
          <t>2025-03-04</t>
        </is>
      </c>
      <c r="I202" t="n">
        <v>20250418</v>
      </c>
      <c r="J202" t="inlineStr">
        <is>
          <t>2025-04-18</t>
        </is>
      </c>
      <c r="K202" s="9" t="n">
        <v>302.7</v>
      </c>
      <c r="L202" t="inlineStr">
        <is>
          <t>USD</t>
        </is>
      </c>
      <c r="M202" s="4" t="n">
        <v>302.7</v>
      </c>
      <c r="N202" t="inlineStr">
        <is>
          <t>Paid</t>
        </is>
      </c>
      <c r="O202" t="inlineStr">
        <is>
          <t>False</t>
        </is>
      </c>
      <c r="P202" t="n">
        <v>45</v>
      </c>
      <c r="Q202">
        <f>VLOOKUP(D202,GL_Accounts!$A$2:$E$1048576,5,FALSE)</f>
        <v/>
      </c>
      <c r="R202">
        <f>VLOOKUP(D202,GL_Accounts!$A$2:$E$1048576,4,FALSE)</f>
        <v/>
      </c>
    </row>
    <row r="203">
      <c r="A203" t="inlineStr">
        <is>
          <t>INV200202</t>
        </is>
      </c>
      <c r="B203" t="n">
        <v>2</v>
      </c>
      <c r="C203" t="inlineStr">
        <is>
          <t>V0002</t>
        </is>
      </c>
      <c r="D203" t="n">
        <v>10</v>
      </c>
      <c r="E203" t="n">
        <v>62100</v>
      </c>
      <c r="F203" t="inlineStr">
        <is>
          <t>PO100163</t>
        </is>
      </c>
      <c r="G203" t="n">
        <v>20250306</v>
      </c>
      <c r="H203" t="inlineStr">
        <is>
          <t>2025-03-06</t>
        </is>
      </c>
      <c r="I203" t="n">
        <v>20250420</v>
      </c>
      <c r="J203" t="inlineStr">
        <is>
          <t>2025-04-20</t>
        </is>
      </c>
      <c r="K203" s="9" t="n">
        <v>41.46</v>
      </c>
      <c r="L203" t="inlineStr">
        <is>
          <t>USD</t>
        </is>
      </c>
      <c r="M203" s="4" t="n">
        <v>41.46</v>
      </c>
      <c r="N203" t="inlineStr">
        <is>
          <t>Paid</t>
        </is>
      </c>
      <c r="O203" t="inlineStr">
        <is>
          <t>False</t>
        </is>
      </c>
      <c r="P203" t="n">
        <v>45</v>
      </c>
      <c r="Q203">
        <f>VLOOKUP(D203,GL_Accounts!$A$2:$E$1048576,5,FALSE)</f>
        <v/>
      </c>
      <c r="R203">
        <f>VLOOKUP(D203,GL_Accounts!$A$2:$E$1048576,4,FALSE)</f>
        <v/>
      </c>
    </row>
    <row r="204">
      <c r="A204" t="inlineStr">
        <is>
          <t>INV200203</t>
        </is>
      </c>
      <c r="B204" t="n">
        <v>2</v>
      </c>
      <c r="C204" t="inlineStr">
        <is>
          <t>V0002</t>
        </is>
      </c>
      <c r="D204" t="n">
        <v>10</v>
      </c>
      <c r="E204" t="n">
        <v>62100</v>
      </c>
      <c r="F204" t="inlineStr">
        <is>
          <t>PO100163</t>
        </is>
      </c>
      <c r="G204" t="n">
        <v>20250515</v>
      </c>
      <c r="H204" t="inlineStr">
        <is>
          <t>2025-05-15</t>
        </is>
      </c>
      <c r="I204" t="n">
        <v>20250629</v>
      </c>
      <c r="J204" t="inlineStr">
        <is>
          <t>2025-06-29</t>
        </is>
      </c>
      <c r="K204" s="9" t="n">
        <v>1089.44</v>
      </c>
      <c r="L204" t="inlineStr">
        <is>
          <t>USD</t>
        </is>
      </c>
      <c r="M204" s="4" t="n">
        <v>1089.44</v>
      </c>
      <c r="N204" t="inlineStr">
        <is>
          <t>Paid</t>
        </is>
      </c>
      <c r="O204" t="inlineStr">
        <is>
          <t>False</t>
        </is>
      </c>
      <c r="P204" t="n">
        <v>45</v>
      </c>
      <c r="Q204">
        <f>VLOOKUP(D204,GL_Accounts!$A$2:$E$1048576,5,FALSE)</f>
        <v/>
      </c>
      <c r="R204">
        <f>VLOOKUP(D204,GL_Accounts!$A$2:$E$1048576,4,FALSE)</f>
        <v/>
      </c>
    </row>
    <row r="205">
      <c r="A205" t="inlineStr">
        <is>
          <t>INV200204</t>
        </is>
      </c>
      <c r="B205" t="n">
        <v>48</v>
      </c>
      <c r="C205" t="inlineStr">
        <is>
          <t>V0048</t>
        </is>
      </c>
      <c r="D205" t="n">
        <v>1</v>
      </c>
      <c r="E205" t="n">
        <v>60100</v>
      </c>
      <c r="F205" t="inlineStr">
        <is>
          <t>PO100164</t>
        </is>
      </c>
      <c r="G205" t="n">
        <v>20251101</v>
      </c>
      <c r="H205" t="inlineStr">
        <is>
          <t>2025-11-01</t>
        </is>
      </c>
      <c r="I205" t="n">
        <v>20251216</v>
      </c>
      <c r="J205" t="inlineStr">
        <is>
          <t>2025-12-16</t>
        </is>
      </c>
      <c r="K205" s="9" t="n">
        <v>2324.26</v>
      </c>
      <c r="L205" t="inlineStr">
        <is>
          <t>USD</t>
        </is>
      </c>
      <c r="M205" s="4" t="n">
        <v>2324.26</v>
      </c>
      <c r="N205" t="inlineStr">
        <is>
          <t>Paid</t>
        </is>
      </c>
      <c r="O205" t="inlineStr">
        <is>
          <t>False</t>
        </is>
      </c>
      <c r="P205" t="n">
        <v>45</v>
      </c>
      <c r="Q205">
        <f>VLOOKUP(D205,GL_Accounts!$A$2:$E$1048576,5,FALSE)</f>
        <v/>
      </c>
      <c r="R205">
        <f>VLOOKUP(D205,GL_Accounts!$A$2:$E$1048576,4,FALSE)</f>
        <v/>
      </c>
    </row>
    <row r="206">
      <c r="A206" t="inlineStr">
        <is>
          <t>INV200205</t>
        </is>
      </c>
      <c r="B206" t="n">
        <v>48</v>
      </c>
      <c r="C206" t="inlineStr">
        <is>
          <t>V0048</t>
        </is>
      </c>
      <c r="D206" t="n">
        <v>4</v>
      </c>
      <c r="E206" t="n">
        <v>60200</v>
      </c>
      <c r="F206" t="inlineStr">
        <is>
          <t>PO100164</t>
        </is>
      </c>
      <c r="G206" t="n">
        <v>20251205</v>
      </c>
      <c r="H206" t="inlineStr">
        <is>
          <t>2025-12-05</t>
        </is>
      </c>
      <c r="I206" t="n">
        <v>20260119</v>
      </c>
      <c r="J206" t="inlineStr">
        <is>
          <t>2026-01-19</t>
        </is>
      </c>
      <c r="K206" s="9" t="n">
        <v>4153.21</v>
      </c>
      <c r="L206" t="inlineStr">
        <is>
          <t>USD</t>
        </is>
      </c>
      <c r="M206" s="4" t="n">
        <v>4153.21</v>
      </c>
      <c r="N206" t="inlineStr">
        <is>
          <t>Unpaid</t>
        </is>
      </c>
      <c r="O206" t="inlineStr">
        <is>
          <t>False</t>
        </is>
      </c>
      <c r="P206" t="n">
        <v>45</v>
      </c>
      <c r="Q206">
        <f>VLOOKUP(D206,GL_Accounts!$A$2:$E$1048576,5,FALSE)</f>
        <v/>
      </c>
      <c r="R206">
        <f>VLOOKUP(D206,GL_Accounts!$A$2:$E$1048576,4,FALSE)</f>
        <v/>
      </c>
    </row>
    <row r="207">
      <c r="A207" t="inlineStr">
        <is>
          <t>INV200206</t>
        </is>
      </c>
      <c r="B207" t="n">
        <v>40</v>
      </c>
      <c r="C207" t="inlineStr">
        <is>
          <t>V0040</t>
        </is>
      </c>
      <c r="D207" t="n">
        <v>11</v>
      </c>
      <c r="E207" t="n">
        <v>62200</v>
      </c>
      <c r="F207" t="inlineStr">
        <is>
          <t>PO100165</t>
        </is>
      </c>
      <c r="G207" t="n">
        <v>20260126</v>
      </c>
      <c r="H207" t="inlineStr">
        <is>
          <t>2026-01-26</t>
        </is>
      </c>
      <c r="I207" t="n">
        <v>20260225</v>
      </c>
      <c r="J207" t="inlineStr">
        <is>
          <t>2026-02-25</t>
        </is>
      </c>
      <c r="K207" s="9" t="n">
        <v>2160.55</v>
      </c>
      <c r="L207" t="inlineStr">
        <is>
          <t>USD</t>
        </is>
      </c>
      <c r="M207" s="4" t="n">
        <v>2160.55</v>
      </c>
      <c r="N207" t="inlineStr">
        <is>
          <t>Paid</t>
        </is>
      </c>
      <c r="O207" t="inlineStr">
        <is>
          <t>False</t>
        </is>
      </c>
      <c r="P207" t="n">
        <v>30</v>
      </c>
      <c r="Q207">
        <f>VLOOKUP(D207,GL_Accounts!$A$2:$E$1048576,5,FALSE)</f>
        <v/>
      </c>
      <c r="R207">
        <f>VLOOKUP(D207,GL_Accounts!$A$2:$E$1048576,4,FALSE)</f>
        <v/>
      </c>
    </row>
    <row r="208">
      <c r="A208" t="inlineStr">
        <is>
          <t>INV200207</t>
        </is>
      </c>
      <c r="B208" t="n">
        <v>27</v>
      </c>
      <c r="C208" t="inlineStr">
        <is>
          <t>V0027</t>
        </is>
      </c>
      <c r="D208" t="n">
        <v>9</v>
      </c>
      <c r="E208" t="n">
        <v>61400</v>
      </c>
      <c r="F208" t="inlineStr">
        <is>
          <t>PO100166</t>
        </is>
      </c>
      <c r="G208" t="n">
        <v>20260531</v>
      </c>
      <c r="H208" t="inlineStr">
        <is>
          <t>2026-05-31</t>
        </is>
      </c>
      <c r="I208" t="n">
        <v>20260630</v>
      </c>
      <c r="J208" t="inlineStr">
        <is>
          <t>2026-06-30</t>
        </is>
      </c>
      <c r="K208" s="9" t="n">
        <v>2186.43</v>
      </c>
      <c r="L208" t="inlineStr">
        <is>
          <t>USD</t>
        </is>
      </c>
      <c r="M208" s="4" t="n">
        <v>2186.43</v>
      </c>
      <c r="N208" t="inlineStr">
        <is>
          <t>Unpaid</t>
        </is>
      </c>
      <c r="O208" t="inlineStr">
        <is>
          <t>False</t>
        </is>
      </c>
      <c r="P208" t="n">
        <v>30</v>
      </c>
      <c r="Q208">
        <f>VLOOKUP(D208,GL_Accounts!$A$2:$E$1048576,5,FALSE)</f>
        <v/>
      </c>
      <c r="R208">
        <f>VLOOKUP(D208,GL_Accounts!$A$2:$E$1048576,4,FALSE)</f>
        <v/>
      </c>
    </row>
    <row r="209">
      <c r="A209" t="inlineStr">
        <is>
          <t>INV200208</t>
        </is>
      </c>
      <c r="B209" t="n">
        <v>23</v>
      </c>
      <c r="C209" t="inlineStr">
        <is>
          <t>V0023</t>
        </is>
      </c>
      <c r="D209" t="n">
        <v>2</v>
      </c>
      <c r="E209" t="n">
        <v>60110</v>
      </c>
      <c r="F209" t="inlineStr">
        <is>
          <t>PO100167</t>
        </is>
      </c>
      <c r="G209" t="n">
        <v>20250524</v>
      </c>
      <c r="H209" t="inlineStr">
        <is>
          <t>2025-05-24</t>
        </is>
      </c>
      <c r="I209" t="n">
        <v>20250708</v>
      </c>
      <c r="J209" t="inlineStr">
        <is>
          <t>2025-07-08</t>
        </is>
      </c>
      <c r="K209" s="9" t="n">
        <v>5444.24</v>
      </c>
      <c r="L209" t="inlineStr">
        <is>
          <t>USD</t>
        </is>
      </c>
      <c r="M209" s="4" t="n">
        <v>5444.24</v>
      </c>
      <c r="N209" t="inlineStr">
        <is>
          <t>Unpaid</t>
        </is>
      </c>
      <c r="O209" t="inlineStr">
        <is>
          <t>False</t>
        </is>
      </c>
      <c r="P209" t="n">
        <v>45</v>
      </c>
      <c r="Q209">
        <f>VLOOKUP(D209,GL_Accounts!$A$2:$E$1048576,5,FALSE)</f>
        <v/>
      </c>
      <c r="R209">
        <f>VLOOKUP(D209,GL_Accounts!$A$2:$E$1048576,4,FALSE)</f>
        <v/>
      </c>
    </row>
    <row r="210">
      <c r="A210" t="inlineStr">
        <is>
          <t>INV200209</t>
        </is>
      </c>
      <c r="B210" t="n">
        <v>48</v>
      </c>
      <c r="C210" t="inlineStr">
        <is>
          <t>V0048</t>
        </is>
      </c>
      <c r="D210" t="n">
        <v>3</v>
      </c>
      <c r="E210" t="n">
        <v>60120</v>
      </c>
      <c r="F210" t="inlineStr">
        <is>
          <t>PO100168</t>
        </is>
      </c>
      <c r="G210" t="n">
        <v>20260219</v>
      </c>
      <c r="H210" t="inlineStr">
        <is>
          <t>2026-02-19</t>
        </is>
      </c>
      <c r="I210" t="n">
        <v>20260405</v>
      </c>
      <c r="J210" t="inlineStr">
        <is>
          <t>2026-04-05</t>
        </is>
      </c>
      <c r="K210" s="9" t="n">
        <v>11931.78</v>
      </c>
      <c r="L210" t="inlineStr">
        <is>
          <t>USD</t>
        </is>
      </c>
      <c r="M210" s="4" t="n">
        <v>11931.78</v>
      </c>
      <c r="N210" t="inlineStr">
        <is>
          <t>Paid</t>
        </is>
      </c>
      <c r="O210" t="inlineStr">
        <is>
          <t>False</t>
        </is>
      </c>
      <c r="P210" t="n">
        <v>45</v>
      </c>
      <c r="Q210">
        <f>VLOOKUP(D210,GL_Accounts!$A$2:$E$1048576,5,FALSE)</f>
        <v/>
      </c>
      <c r="R210">
        <f>VLOOKUP(D210,GL_Accounts!$A$2:$E$1048576,4,FALSE)</f>
        <v/>
      </c>
    </row>
    <row r="211">
      <c r="A211" t="inlineStr">
        <is>
          <t>INV200210</t>
        </is>
      </c>
      <c r="B211" t="n">
        <v>30</v>
      </c>
      <c r="C211" t="inlineStr">
        <is>
          <t>V0030</t>
        </is>
      </c>
      <c r="D211" t="n">
        <v>17</v>
      </c>
      <c r="E211" t="n">
        <v>64100</v>
      </c>
      <c r="F211" t="inlineStr">
        <is>
          <t>PO100169</t>
        </is>
      </c>
      <c r="G211" t="n">
        <v>20250925</v>
      </c>
      <c r="H211" t="inlineStr">
        <is>
          <t>2025-09-25</t>
        </is>
      </c>
      <c r="I211" t="n">
        <v>20251025</v>
      </c>
      <c r="J211" t="inlineStr">
        <is>
          <t>2025-10-25</t>
        </is>
      </c>
      <c r="K211" s="9" t="n">
        <v>2216.07</v>
      </c>
      <c r="L211" t="inlineStr">
        <is>
          <t>USD</t>
        </is>
      </c>
      <c r="M211" s="4" t="n">
        <v>2216.07</v>
      </c>
      <c r="N211" t="inlineStr">
        <is>
          <t>Paid</t>
        </is>
      </c>
      <c r="O211" t="inlineStr">
        <is>
          <t>False</t>
        </is>
      </c>
      <c r="P211" t="n">
        <v>30</v>
      </c>
      <c r="Q211">
        <f>VLOOKUP(D211,GL_Accounts!$A$2:$E$1048576,5,FALSE)</f>
        <v/>
      </c>
      <c r="R211">
        <f>VLOOKUP(D211,GL_Accounts!$A$2:$E$1048576,4,FALSE)</f>
        <v/>
      </c>
    </row>
    <row r="212">
      <c r="A212" t="inlineStr">
        <is>
          <t>INV200211</t>
        </is>
      </c>
      <c r="B212" t="n">
        <v>30</v>
      </c>
      <c r="C212" t="inlineStr">
        <is>
          <t>V0030</t>
        </is>
      </c>
      <c r="D212" t="n">
        <v>19</v>
      </c>
      <c r="E212" t="n">
        <v>64300</v>
      </c>
      <c r="F212" t="inlineStr">
        <is>
          <t>PO100169</t>
        </is>
      </c>
      <c r="G212" t="n">
        <v>20251024</v>
      </c>
      <c r="H212" t="inlineStr">
        <is>
          <t>2025-10-24</t>
        </is>
      </c>
      <c r="I212" t="n">
        <v>20251123</v>
      </c>
      <c r="J212" t="inlineStr">
        <is>
          <t>2025-11-23</t>
        </is>
      </c>
      <c r="K212" s="9" t="n">
        <v>4105.89</v>
      </c>
      <c r="L212" t="inlineStr">
        <is>
          <t>USD</t>
        </is>
      </c>
      <c r="M212" s="4" t="n">
        <v>4105.89</v>
      </c>
      <c r="N212" t="inlineStr">
        <is>
          <t>Paid</t>
        </is>
      </c>
      <c r="O212" t="inlineStr">
        <is>
          <t>False</t>
        </is>
      </c>
      <c r="P212" t="n">
        <v>30</v>
      </c>
      <c r="Q212">
        <f>VLOOKUP(D212,GL_Accounts!$A$2:$E$1048576,5,FALSE)</f>
        <v/>
      </c>
      <c r="R212">
        <f>VLOOKUP(D212,GL_Accounts!$A$2:$E$1048576,4,FALSE)</f>
        <v/>
      </c>
    </row>
    <row r="213">
      <c r="A213" t="inlineStr">
        <is>
          <t>INV200212</t>
        </is>
      </c>
      <c r="B213" t="n">
        <v>32</v>
      </c>
      <c r="C213" t="inlineStr">
        <is>
          <t>V0032</t>
        </is>
      </c>
      <c r="D213" t="n">
        <v>6</v>
      </c>
      <c r="E213" t="n">
        <v>61100</v>
      </c>
      <c r="F213" t="inlineStr">
        <is>
          <t>PO100170</t>
        </is>
      </c>
      <c r="G213" t="n">
        <v>20260329</v>
      </c>
      <c r="H213" t="inlineStr">
        <is>
          <t>2026-03-29</t>
        </is>
      </c>
      <c r="I213" t="n">
        <v>20260513</v>
      </c>
      <c r="J213" t="inlineStr">
        <is>
          <t>2026-05-13</t>
        </is>
      </c>
      <c r="K213" s="9" t="n">
        <v>2510.28</v>
      </c>
      <c r="L213" t="inlineStr">
        <is>
          <t>USD</t>
        </is>
      </c>
      <c r="M213" s="4" t="n">
        <v>2510.28</v>
      </c>
      <c r="N213" t="inlineStr">
        <is>
          <t>Paid</t>
        </is>
      </c>
      <c r="O213" t="inlineStr">
        <is>
          <t>False</t>
        </is>
      </c>
      <c r="P213" t="n">
        <v>45</v>
      </c>
      <c r="Q213">
        <f>VLOOKUP(D213,GL_Accounts!$A$2:$E$1048576,5,FALSE)</f>
        <v/>
      </c>
      <c r="R213">
        <f>VLOOKUP(D213,GL_Accounts!$A$2:$E$1048576,4,FALSE)</f>
        <v/>
      </c>
    </row>
    <row r="214">
      <c r="A214" t="inlineStr">
        <is>
          <t>INV200213</t>
        </is>
      </c>
      <c r="B214" t="n">
        <v>43</v>
      </c>
      <c r="C214" t="inlineStr">
        <is>
          <t>V0043</t>
        </is>
      </c>
      <c r="D214" t="n">
        <v>8</v>
      </c>
      <c r="E214" t="n">
        <v>61300</v>
      </c>
      <c r="F214" t="inlineStr">
        <is>
          <t>PO100171</t>
        </is>
      </c>
      <c r="G214" t="n">
        <v>20250423</v>
      </c>
      <c r="H214" t="inlineStr">
        <is>
          <t>2025-04-23</t>
        </is>
      </c>
      <c r="I214" t="n">
        <v>20250523</v>
      </c>
      <c r="J214" t="inlineStr">
        <is>
          <t>2025-05-23</t>
        </is>
      </c>
      <c r="K214" s="9" t="n">
        <v>721.85</v>
      </c>
      <c r="L214" t="inlineStr">
        <is>
          <t>USD</t>
        </is>
      </c>
      <c r="M214" s="4" t="n">
        <v>721.85</v>
      </c>
      <c r="N214" t="inlineStr">
        <is>
          <t>Paid</t>
        </is>
      </c>
      <c r="O214" t="inlineStr">
        <is>
          <t>False</t>
        </is>
      </c>
      <c r="P214" t="n">
        <v>30</v>
      </c>
      <c r="Q214">
        <f>VLOOKUP(D214,GL_Accounts!$A$2:$E$1048576,5,FALSE)</f>
        <v/>
      </c>
      <c r="R214">
        <f>VLOOKUP(D214,GL_Accounts!$A$2:$E$1048576,4,FALSE)</f>
        <v/>
      </c>
    </row>
    <row r="215">
      <c r="A215" t="inlineStr">
        <is>
          <t>INV200214</t>
        </is>
      </c>
      <c r="B215" t="n">
        <v>43</v>
      </c>
      <c r="C215" t="inlineStr">
        <is>
          <t>V0043</t>
        </is>
      </c>
      <c r="D215" t="n">
        <v>7</v>
      </c>
      <c r="E215" t="n">
        <v>61200</v>
      </c>
      <c r="F215" t="inlineStr">
        <is>
          <t>PO100171</t>
        </is>
      </c>
      <c r="G215" t="n">
        <v>20250510</v>
      </c>
      <c r="H215" t="inlineStr">
        <is>
          <t>2025-05-10</t>
        </is>
      </c>
      <c r="I215" t="n">
        <v>20250609</v>
      </c>
      <c r="J215" t="inlineStr">
        <is>
          <t>2025-06-09</t>
        </is>
      </c>
      <c r="K215" s="9" t="n">
        <v>555.91</v>
      </c>
      <c r="L215" t="inlineStr">
        <is>
          <t>USD</t>
        </is>
      </c>
      <c r="M215" s="4" t="n">
        <v>555.91</v>
      </c>
      <c r="N215" t="inlineStr">
        <is>
          <t>Paid</t>
        </is>
      </c>
      <c r="O215" t="inlineStr">
        <is>
          <t>False</t>
        </is>
      </c>
      <c r="P215" t="n">
        <v>30</v>
      </c>
      <c r="Q215">
        <f>VLOOKUP(D215,GL_Accounts!$A$2:$E$1048576,5,FALSE)</f>
        <v/>
      </c>
      <c r="R215">
        <f>VLOOKUP(D215,GL_Accounts!$A$2:$E$1048576,4,FALSE)</f>
        <v/>
      </c>
    </row>
    <row r="216">
      <c r="A216" t="inlineStr">
        <is>
          <t>INV200215</t>
        </is>
      </c>
      <c r="B216" t="n">
        <v>43</v>
      </c>
      <c r="C216" t="inlineStr">
        <is>
          <t>V0043</t>
        </is>
      </c>
      <c r="D216" t="n">
        <v>6</v>
      </c>
      <c r="E216" t="n">
        <v>61100</v>
      </c>
      <c r="F216" t="inlineStr">
        <is>
          <t>PO100171</t>
        </is>
      </c>
      <c r="G216" t="n">
        <v>20250616</v>
      </c>
      <c r="H216" t="inlineStr">
        <is>
          <t>2025-06-16</t>
        </is>
      </c>
      <c r="I216" t="n">
        <v>20250716</v>
      </c>
      <c r="J216" t="inlineStr">
        <is>
          <t>2025-07-16</t>
        </is>
      </c>
      <c r="K216" s="9" t="n">
        <v>2143.96</v>
      </c>
      <c r="L216" t="inlineStr">
        <is>
          <t>USD</t>
        </is>
      </c>
      <c r="M216" s="4" t="n">
        <v>2143.96</v>
      </c>
      <c r="N216" t="inlineStr">
        <is>
          <t>Paid</t>
        </is>
      </c>
      <c r="O216" t="inlineStr">
        <is>
          <t>False</t>
        </is>
      </c>
      <c r="P216" t="n">
        <v>30</v>
      </c>
      <c r="Q216">
        <f>VLOOKUP(D216,GL_Accounts!$A$2:$E$1048576,5,FALSE)</f>
        <v/>
      </c>
      <c r="R216">
        <f>VLOOKUP(D216,GL_Accounts!$A$2:$E$1048576,4,FALSE)</f>
        <v/>
      </c>
    </row>
    <row r="217">
      <c r="A217" t="inlineStr">
        <is>
          <t>INV200216</t>
        </is>
      </c>
      <c r="B217" t="n">
        <v>4</v>
      </c>
      <c r="C217" t="inlineStr">
        <is>
          <t>V0004</t>
        </is>
      </c>
      <c r="D217" t="n">
        <v>3</v>
      </c>
      <c r="E217" t="n">
        <v>60120</v>
      </c>
      <c r="F217" t="inlineStr">
        <is>
          <t>PO100172</t>
        </is>
      </c>
      <c r="G217" t="n">
        <v>20250926</v>
      </c>
      <c r="H217" t="inlineStr">
        <is>
          <t>2025-09-26</t>
        </is>
      </c>
      <c r="I217" t="n">
        <v>20251026</v>
      </c>
      <c r="J217" t="inlineStr">
        <is>
          <t>2025-10-26</t>
        </is>
      </c>
      <c r="K217" s="9" t="n">
        <v>8410.700000000001</v>
      </c>
      <c r="L217" t="inlineStr">
        <is>
          <t>GBP</t>
        </is>
      </c>
      <c r="M217" s="4" t="n">
        <v>10681.59</v>
      </c>
      <c r="N217" t="inlineStr">
        <is>
          <t>Paid</t>
        </is>
      </c>
      <c r="O217" t="inlineStr">
        <is>
          <t>False</t>
        </is>
      </c>
      <c r="P217" t="n">
        <v>30</v>
      </c>
      <c r="Q217">
        <f>VLOOKUP(D217,GL_Accounts!$A$2:$E$1048576,5,FALSE)</f>
        <v/>
      </c>
      <c r="R217">
        <f>VLOOKUP(D217,GL_Accounts!$A$2:$E$1048576,4,FALSE)</f>
        <v/>
      </c>
    </row>
    <row r="218">
      <c r="A218" t="inlineStr">
        <is>
          <t>INV200217</t>
        </is>
      </c>
      <c r="B218" t="n">
        <v>9</v>
      </c>
      <c r="C218" t="inlineStr">
        <is>
          <t>V0009</t>
        </is>
      </c>
      <c r="D218" t="n">
        <v>7</v>
      </c>
      <c r="E218" t="n">
        <v>61200</v>
      </c>
      <c r="F218" t="inlineStr">
        <is>
          <t>PO100173</t>
        </is>
      </c>
      <c r="G218" t="n">
        <v>20250922</v>
      </c>
      <c r="H218" t="inlineStr">
        <is>
          <t>2025-09-22</t>
        </is>
      </c>
      <c r="I218" t="n">
        <v>20251007</v>
      </c>
      <c r="J218" t="inlineStr">
        <is>
          <t>2025-10-07</t>
        </is>
      </c>
      <c r="K218" s="9" t="n">
        <v>3103.72</v>
      </c>
      <c r="L218" t="inlineStr">
        <is>
          <t>USD</t>
        </is>
      </c>
      <c r="M218" s="4" t="n">
        <v>3103.72</v>
      </c>
      <c r="N218" t="inlineStr">
        <is>
          <t>Paid</t>
        </is>
      </c>
      <c r="O218" t="inlineStr">
        <is>
          <t>False</t>
        </is>
      </c>
      <c r="P218" t="n">
        <v>15</v>
      </c>
      <c r="Q218">
        <f>VLOOKUP(D218,GL_Accounts!$A$2:$E$1048576,5,FALSE)</f>
        <v/>
      </c>
      <c r="R218">
        <f>VLOOKUP(D218,GL_Accounts!$A$2:$E$1048576,4,FALSE)</f>
        <v/>
      </c>
    </row>
    <row r="219">
      <c r="A219" t="inlineStr">
        <is>
          <t>INV200218</t>
        </is>
      </c>
      <c r="B219" t="n">
        <v>31</v>
      </c>
      <c r="C219" t="inlineStr">
        <is>
          <t>V0031</t>
        </is>
      </c>
      <c r="D219" t="n">
        <v>3</v>
      </c>
      <c r="E219" t="n">
        <v>60120</v>
      </c>
      <c r="F219" t="inlineStr">
        <is>
          <t>PO100174</t>
        </is>
      </c>
      <c r="G219" t="n">
        <v>20241018</v>
      </c>
      <c r="H219" t="inlineStr">
        <is>
          <t>2024-10-18</t>
        </is>
      </c>
      <c r="I219" t="n">
        <v>20241117</v>
      </c>
      <c r="J219" t="inlineStr">
        <is>
          <t>2024-11-17</t>
        </is>
      </c>
      <c r="K219" s="9" t="n">
        <v>9634.76</v>
      </c>
      <c r="L219" t="inlineStr">
        <is>
          <t>USD</t>
        </is>
      </c>
      <c r="M219" s="4" t="n">
        <v>9634.76</v>
      </c>
      <c r="N219" t="inlineStr">
        <is>
          <t>Paid</t>
        </is>
      </c>
      <c r="O219" t="inlineStr">
        <is>
          <t>False</t>
        </is>
      </c>
      <c r="P219" t="n">
        <v>30</v>
      </c>
      <c r="Q219">
        <f>VLOOKUP(D219,GL_Accounts!$A$2:$E$1048576,5,FALSE)</f>
        <v/>
      </c>
      <c r="R219">
        <f>VLOOKUP(D219,GL_Accounts!$A$2:$E$1048576,4,FALSE)</f>
        <v/>
      </c>
    </row>
    <row r="220">
      <c r="A220" t="inlineStr">
        <is>
          <t>INV200219</t>
        </is>
      </c>
      <c r="B220" t="n">
        <v>9</v>
      </c>
      <c r="C220" t="inlineStr">
        <is>
          <t>V0009</t>
        </is>
      </c>
      <c r="D220" t="n">
        <v>6</v>
      </c>
      <c r="E220" t="n">
        <v>61100</v>
      </c>
      <c r="F220" t="inlineStr">
        <is>
          <t>PO100175</t>
        </is>
      </c>
      <c r="G220" t="n">
        <v>20251022</v>
      </c>
      <c r="H220" t="inlineStr">
        <is>
          <t>2025-10-22</t>
        </is>
      </c>
      <c r="I220" t="n">
        <v>20251106</v>
      </c>
      <c r="J220" t="inlineStr">
        <is>
          <t>2025-11-06</t>
        </is>
      </c>
      <c r="K220" s="9" t="n">
        <v>3283.35</v>
      </c>
      <c r="L220" t="inlineStr">
        <is>
          <t>USD</t>
        </is>
      </c>
      <c r="M220" s="4" t="n">
        <v>3283.35</v>
      </c>
      <c r="N220" t="inlineStr">
        <is>
          <t>Paid</t>
        </is>
      </c>
      <c r="O220" t="inlineStr">
        <is>
          <t>False</t>
        </is>
      </c>
      <c r="P220" t="n">
        <v>15</v>
      </c>
      <c r="Q220">
        <f>VLOOKUP(D220,GL_Accounts!$A$2:$E$1048576,5,FALSE)</f>
        <v/>
      </c>
      <c r="R220">
        <f>VLOOKUP(D220,GL_Accounts!$A$2:$E$1048576,4,FALSE)</f>
        <v/>
      </c>
    </row>
    <row r="221">
      <c r="A221" t="inlineStr">
        <is>
          <t>INV200220</t>
        </is>
      </c>
      <c r="B221" t="n">
        <v>42</v>
      </c>
      <c r="C221" t="inlineStr">
        <is>
          <t>V0042</t>
        </is>
      </c>
      <c r="D221" t="n">
        <v>19</v>
      </c>
      <c r="E221" t="n">
        <v>64300</v>
      </c>
      <c r="F221" t="inlineStr">
        <is>
          <t>PO100176</t>
        </is>
      </c>
      <c r="G221" t="n">
        <v>20251213</v>
      </c>
      <c r="H221" t="inlineStr">
        <is>
          <t>2025-12-13</t>
        </is>
      </c>
      <c r="I221" t="n">
        <v>20260127</v>
      </c>
      <c r="J221" t="inlineStr">
        <is>
          <t>2026-01-27</t>
        </is>
      </c>
      <c r="K221" s="9" t="n">
        <v>5101.19</v>
      </c>
      <c r="L221" t="inlineStr">
        <is>
          <t>USD</t>
        </is>
      </c>
      <c r="M221" s="4" t="n">
        <v>5101.19</v>
      </c>
      <c r="N221" t="inlineStr">
        <is>
          <t>Paid</t>
        </is>
      </c>
      <c r="O221" t="inlineStr">
        <is>
          <t>False</t>
        </is>
      </c>
      <c r="P221" t="n">
        <v>45</v>
      </c>
      <c r="Q221">
        <f>VLOOKUP(D221,GL_Accounts!$A$2:$E$1048576,5,FALSE)</f>
        <v/>
      </c>
      <c r="R221">
        <f>VLOOKUP(D221,GL_Accounts!$A$2:$E$1048576,4,FALSE)</f>
        <v/>
      </c>
    </row>
    <row r="222">
      <c r="A222" t="inlineStr">
        <is>
          <t>INV200221</t>
        </is>
      </c>
      <c r="B222" t="n">
        <v>42</v>
      </c>
      <c r="C222" t="inlineStr">
        <is>
          <t>V0042</t>
        </is>
      </c>
      <c r="D222" t="n">
        <v>16</v>
      </c>
      <c r="E222" t="n">
        <v>63300</v>
      </c>
      <c r="F222" t="inlineStr">
        <is>
          <t>PO100176</t>
        </is>
      </c>
      <c r="G222" t="n">
        <v>20251209</v>
      </c>
      <c r="H222" t="inlineStr">
        <is>
          <t>2025-12-09</t>
        </is>
      </c>
      <c r="I222" t="n">
        <v>20260123</v>
      </c>
      <c r="J222" t="inlineStr">
        <is>
          <t>2026-01-23</t>
        </is>
      </c>
      <c r="K222" s="9" t="n">
        <v>2491.57</v>
      </c>
      <c r="L222" t="inlineStr">
        <is>
          <t>USD</t>
        </is>
      </c>
      <c r="M222" s="4" t="n">
        <v>2491.57</v>
      </c>
      <c r="N222" t="inlineStr">
        <is>
          <t>Paid</t>
        </is>
      </c>
      <c r="O222" t="inlineStr">
        <is>
          <t>False</t>
        </is>
      </c>
      <c r="P222" t="n">
        <v>45</v>
      </c>
      <c r="Q222">
        <f>VLOOKUP(D222,GL_Accounts!$A$2:$E$1048576,5,FALSE)</f>
        <v/>
      </c>
      <c r="R222">
        <f>VLOOKUP(D222,GL_Accounts!$A$2:$E$1048576,4,FALSE)</f>
        <v/>
      </c>
    </row>
    <row r="223">
      <c r="A223" t="inlineStr">
        <is>
          <t>INV200222</t>
        </is>
      </c>
      <c r="B223" t="n">
        <v>41</v>
      </c>
      <c r="C223" t="inlineStr">
        <is>
          <t>V0041</t>
        </is>
      </c>
      <c r="D223" t="n">
        <v>1</v>
      </c>
      <c r="E223" t="n">
        <v>60100</v>
      </c>
      <c r="F223" t="inlineStr">
        <is>
          <t>PO100177</t>
        </is>
      </c>
      <c r="G223" t="n">
        <v>20260601</v>
      </c>
      <c r="H223" t="inlineStr">
        <is>
          <t>2026-06-01</t>
        </is>
      </c>
      <c r="I223" t="n">
        <v>20260701</v>
      </c>
      <c r="J223" t="inlineStr">
        <is>
          <t>2026-07-01</t>
        </is>
      </c>
      <c r="K223" s="9" t="n">
        <v>4669.48</v>
      </c>
      <c r="L223" t="inlineStr">
        <is>
          <t>USD</t>
        </is>
      </c>
      <c r="M223" s="4" t="n">
        <v>4669.48</v>
      </c>
      <c r="N223" t="inlineStr">
        <is>
          <t>Unpaid</t>
        </is>
      </c>
      <c r="O223" t="inlineStr">
        <is>
          <t>False</t>
        </is>
      </c>
      <c r="P223" t="n">
        <v>30</v>
      </c>
      <c r="Q223">
        <f>VLOOKUP(D223,GL_Accounts!$A$2:$E$1048576,5,FALSE)</f>
        <v/>
      </c>
      <c r="R223">
        <f>VLOOKUP(D223,GL_Accounts!$A$2:$E$1048576,4,FALSE)</f>
        <v/>
      </c>
    </row>
    <row r="224">
      <c r="A224" t="inlineStr">
        <is>
          <t>INV200223</t>
        </is>
      </c>
      <c r="B224" t="n">
        <v>41</v>
      </c>
      <c r="C224" t="inlineStr">
        <is>
          <t>V0041</t>
        </is>
      </c>
      <c r="D224" t="n">
        <v>1</v>
      </c>
      <c r="E224" t="n">
        <v>60100</v>
      </c>
      <c r="F224" t="inlineStr">
        <is>
          <t>PO100177</t>
        </is>
      </c>
      <c r="G224" t="n">
        <v>20260719</v>
      </c>
      <c r="H224" t="inlineStr">
        <is>
          <t>2026-07-19</t>
        </is>
      </c>
      <c r="I224" t="n">
        <v>20260818</v>
      </c>
      <c r="J224" t="inlineStr">
        <is>
          <t>2026-08-18</t>
        </is>
      </c>
      <c r="K224" s="9" t="n">
        <v>7436.07</v>
      </c>
      <c r="L224" t="inlineStr">
        <is>
          <t>USD</t>
        </is>
      </c>
      <c r="M224" s="4" t="n">
        <v>7436.07</v>
      </c>
      <c r="N224" t="inlineStr">
        <is>
          <t>Unpaid</t>
        </is>
      </c>
      <c r="O224" t="inlineStr">
        <is>
          <t>False</t>
        </is>
      </c>
      <c r="P224" t="n">
        <v>30</v>
      </c>
      <c r="Q224">
        <f>VLOOKUP(D224,GL_Accounts!$A$2:$E$1048576,5,FALSE)</f>
        <v/>
      </c>
      <c r="R224">
        <f>VLOOKUP(D224,GL_Accounts!$A$2:$E$1048576,4,FALSE)</f>
        <v/>
      </c>
    </row>
    <row r="225">
      <c r="A225" t="inlineStr">
        <is>
          <t>INV200224</t>
        </is>
      </c>
      <c r="B225" t="n">
        <v>42</v>
      </c>
      <c r="C225" t="inlineStr">
        <is>
          <t>V0042</t>
        </is>
      </c>
      <c r="D225" t="n">
        <v>19</v>
      </c>
      <c r="E225" t="n">
        <v>64300</v>
      </c>
      <c r="F225" t="inlineStr">
        <is>
          <t>PO100178</t>
        </is>
      </c>
      <c r="G225" t="n">
        <v>20250911</v>
      </c>
      <c r="H225" t="inlineStr">
        <is>
          <t>2025-09-11</t>
        </is>
      </c>
      <c r="I225" t="n">
        <v>20251026</v>
      </c>
      <c r="J225" t="inlineStr">
        <is>
          <t>2025-10-26</t>
        </is>
      </c>
      <c r="K225" s="9" t="n">
        <v>25198.78</v>
      </c>
      <c r="L225" t="inlineStr">
        <is>
          <t>USD</t>
        </is>
      </c>
      <c r="M225" s="4" t="n">
        <v>25198.78</v>
      </c>
      <c r="N225" t="inlineStr">
        <is>
          <t>Paid</t>
        </is>
      </c>
      <c r="O225" t="inlineStr">
        <is>
          <t>False</t>
        </is>
      </c>
      <c r="P225" t="n">
        <v>45</v>
      </c>
      <c r="Q225">
        <f>VLOOKUP(D225,GL_Accounts!$A$2:$E$1048576,5,FALSE)</f>
        <v/>
      </c>
      <c r="R225">
        <f>VLOOKUP(D225,GL_Accounts!$A$2:$E$1048576,4,FALSE)</f>
        <v/>
      </c>
    </row>
    <row r="226">
      <c r="A226" t="inlineStr">
        <is>
          <t>INV200225</t>
        </is>
      </c>
      <c r="B226" t="n">
        <v>42</v>
      </c>
      <c r="C226" t="inlineStr">
        <is>
          <t>V0042</t>
        </is>
      </c>
      <c r="D226" t="n">
        <v>8</v>
      </c>
      <c r="E226" t="n">
        <v>61300</v>
      </c>
      <c r="F226" t="inlineStr">
        <is>
          <t>PO100179</t>
        </is>
      </c>
      <c r="G226" t="n">
        <v>20250130</v>
      </c>
      <c r="H226" t="inlineStr">
        <is>
          <t>2025-01-30</t>
        </is>
      </c>
      <c r="I226" t="n">
        <v>20250316</v>
      </c>
      <c r="J226" t="inlineStr">
        <is>
          <t>2025-03-16</t>
        </is>
      </c>
      <c r="K226" s="9" t="n">
        <v>10419.38</v>
      </c>
      <c r="L226" t="inlineStr">
        <is>
          <t>USD</t>
        </is>
      </c>
      <c r="M226" s="4" t="n">
        <v>10419.38</v>
      </c>
      <c r="N226" t="inlineStr">
        <is>
          <t>Paid</t>
        </is>
      </c>
      <c r="O226" t="inlineStr">
        <is>
          <t>False</t>
        </is>
      </c>
      <c r="P226" t="n">
        <v>45</v>
      </c>
      <c r="Q226">
        <f>VLOOKUP(D226,GL_Accounts!$A$2:$E$1048576,5,FALSE)</f>
        <v/>
      </c>
      <c r="R226">
        <f>VLOOKUP(D226,GL_Accounts!$A$2:$E$1048576,4,FALSE)</f>
        <v/>
      </c>
    </row>
    <row r="227">
      <c r="A227" t="inlineStr">
        <is>
          <t>INV200226</t>
        </is>
      </c>
      <c r="B227" t="n">
        <v>31</v>
      </c>
      <c r="C227" t="inlineStr">
        <is>
          <t>V0031</t>
        </is>
      </c>
      <c r="D227" t="n">
        <v>4</v>
      </c>
      <c r="E227" t="n">
        <v>60200</v>
      </c>
      <c r="F227" t="inlineStr">
        <is>
          <t>PO100180</t>
        </is>
      </c>
      <c r="G227" t="n">
        <v>20250812</v>
      </c>
      <c r="H227" t="inlineStr">
        <is>
          <t>2025-08-12</t>
        </is>
      </c>
      <c r="I227" t="n">
        <v>20250911</v>
      </c>
      <c r="J227" t="inlineStr">
        <is>
          <t>2025-09-11</t>
        </is>
      </c>
      <c r="K227" s="9" t="n">
        <v>58813.08</v>
      </c>
      <c r="L227" t="inlineStr">
        <is>
          <t>USD</t>
        </is>
      </c>
      <c r="M227" s="4" t="n">
        <v>58813.08</v>
      </c>
      <c r="N227" t="inlineStr">
        <is>
          <t>Paid</t>
        </is>
      </c>
      <c r="O227" t="inlineStr">
        <is>
          <t>False</t>
        </is>
      </c>
      <c r="P227" t="n">
        <v>30</v>
      </c>
      <c r="Q227">
        <f>VLOOKUP(D227,GL_Accounts!$A$2:$E$1048576,5,FALSE)</f>
        <v/>
      </c>
      <c r="R227">
        <f>VLOOKUP(D227,GL_Accounts!$A$2:$E$1048576,4,FALSE)</f>
        <v/>
      </c>
    </row>
    <row r="228">
      <c r="A228" t="inlineStr">
        <is>
          <t>INV200227</t>
        </is>
      </c>
      <c r="B228" t="n">
        <v>9</v>
      </c>
      <c r="C228" t="inlineStr">
        <is>
          <t>V0009</t>
        </is>
      </c>
      <c r="D228" t="n">
        <v>7</v>
      </c>
      <c r="E228" t="n">
        <v>61200</v>
      </c>
      <c r="F228" t="inlineStr">
        <is>
          <t>PO100181</t>
        </is>
      </c>
      <c r="G228" t="n">
        <v>20250213</v>
      </c>
      <c r="H228" t="inlineStr">
        <is>
          <t>2025-02-13</t>
        </is>
      </c>
      <c r="I228" t="n">
        <v>20250228</v>
      </c>
      <c r="J228" t="inlineStr">
        <is>
          <t>2025-02-28</t>
        </is>
      </c>
      <c r="K228" s="9" t="n">
        <v>12417.46</v>
      </c>
      <c r="L228" t="inlineStr">
        <is>
          <t>USD</t>
        </is>
      </c>
      <c r="M228" s="4" t="n">
        <v>12417.46</v>
      </c>
      <c r="N228" t="inlineStr">
        <is>
          <t>Unpaid</t>
        </is>
      </c>
      <c r="O228" t="inlineStr">
        <is>
          <t>False</t>
        </is>
      </c>
      <c r="P228" t="n">
        <v>15</v>
      </c>
      <c r="Q228">
        <f>VLOOKUP(D228,GL_Accounts!$A$2:$E$1048576,5,FALSE)</f>
        <v/>
      </c>
      <c r="R228">
        <f>VLOOKUP(D228,GL_Accounts!$A$2:$E$1048576,4,FALSE)</f>
        <v/>
      </c>
    </row>
    <row r="229">
      <c r="A229" t="inlineStr">
        <is>
          <t>INV200228</t>
        </is>
      </c>
      <c r="B229" t="n">
        <v>8</v>
      </c>
      <c r="C229" t="inlineStr">
        <is>
          <t>V0008</t>
        </is>
      </c>
      <c r="D229" t="n">
        <v>15</v>
      </c>
      <c r="E229" t="n">
        <v>63200</v>
      </c>
      <c r="F229" t="inlineStr">
        <is>
          <t>PO100183</t>
        </is>
      </c>
      <c r="G229" t="n">
        <v>20241107</v>
      </c>
      <c r="H229" t="inlineStr">
        <is>
          <t>2024-11-07</t>
        </is>
      </c>
      <c r="I229" t="n">
        <v>20241222</v>
      </c>
      <c r="J229" t="inlineStr">
        <is>
          <t>2024-12-22</t>
        </is>
      </c>
      <c r="K229" s="9" t="n">
        <v>415.3</v>
      </c>
      <c r="L229" t="inlineStr">
        <is>
          <t>EUR</t>
        </is>
      </c>
      <c r="M229" s="4" t="n">
        <v>448.52</v>
      </c>
      <c r="N229" t="inlineStr">
        <is>
          <t>Paid</t>
        </is>
      </c>
      <c r="O229" t="inlineStr">
        <is>
          <t>False</t>
        </is>
      </c>
      <c r="P229" t="n">
        <v>45</v>
      </c>
      <c r="Q229">
        <f>VLOOKUP(D229,GL_Accounts!$A$2:$E$1048576,5,FALSE)</f>
        <v/>
      </c>
      <c r="R229">
        <f>VLOOKUP(D229,GL_Accounts!$A$2:$E$1048576,4,FALSE)</f>
        <v/>
      </c>
    </row>
    <row r="230">
      <c r="A230" t="inlineStr">
        <is>
          <t>INV200229</t>
        </is>
      </c>
      <c r="B230" t="n">
        <v>8</v>
      </c>
      <c r="C230" t="inlineStr">
        <is>
          <t>V0008</t>
        </is>
      </c>
      <c r="D230" t="n">
        <v>20</v>
      </c>
      <c r="E230" t="n">
        <v>65100</v>
      </c>
      <c r="F230" t="inlineStr">
        <is>
          <t>PO100183</t>
        </is>
      </c>
      <c r="G230" t="n">
        <v>20241210</v>
      </c>
      <c r="H230" t="inlineStr">
        <is>
          <t>2024-12-10</t>
        </is>
      </c>
      <c r="I230" t="n">
        <v>20250124</v>
      </c>
      <c r="J230" t="inlineStr">
        <is>
          <t>2025-01-24</t>
        </is>
      </c>
      <c r="K230" s="9" t="n">
        <v>148.48</v>
      </c>
      <c r="L230" t="inlineStr">
        <is>
          <t>EUR</t>
        </is>
      </c>
      <c r="M230" s="4" t="n">
        <v>160.36</v>
      </c>
      <c r="N230" t="inlineStr">
        <is>
          <t>Paid</t>
        </is>
      </c>
      <c r="O230" t="inlineStr">
        <is>
          <t>False</t>
        </is>
      </c>
      <c r="P230" t="n">
        <v>45</v>
      </c>
      <c r="Q230">
        <f>VLOOKUP(D230,GL_Accounts!$A$2:$E$1048576,5,FALSE)</f>
        <v/>
      </c>
      <c r="R230">
        <f>VLOOKUP(D230,GL_Accounts!$A$2:$E$1048576,4,FALSE)</f>
        <v/>
      </c>
    </row>
    <row r="231">
      <c r="A231" t="inlineStr">
        <is>
          <t>INV200230</t>
        </is>
      </c>
      <c r="B231" t="n">
        <v>30</v>
      </c>
      <c r="C231" t="inlineStr">
        <is>
          <t>V0030</t>
        </is>
      </c>
      <c r="D231" t="n">
        <v>17</v>
      </c>
      <c r="E231" t="n">
        <v>64100</v>
      </c>
      <c r="F231" t="inlineStr">
        <is>
          <t>PO100184</t>
        </is>
      </c>
      <c r="G231" t="n">
        <v>20260529</v>
      </c>
      <c r="H231" t="inlineStr">
        <is>
          <t>2026-05-29</t>
        </is>
      </c>
      <c r="I231" t="n">
        <v>20260628</v>
      </c>
      <c r="J231" t="inlineStr">
        <is>
          <t>2026-06-28</t>
        </is>
      </c>
      <c r="K231" s="9" t="n">
        <v>11404.68</v>
      </c>
      <c r="L231" t="inlineStr">
        <is>
          <t>USD</t>
        </is>
      </c>
      <c r="M231" s="4" t="n">
        <v>11404.68</v>
      </c>
      <c r="N231" t="inlineStr">
        <is>
          <t>Paid</t>
        </is>
      </c>
      <c r="O231" t="inlineStr">
        <is>
          <t>False</t>
        </is>
      </c>
      <c r="P231" t="n">
        <v>30</v>
      </c>
      <c r="Q231">
        <f>VLOOKUP(D231,GL_Accounts!$A$2:$E$1048576,5,FALSE)</f>
        <v/>
      </c>
      <c r="R231">
        <f>VLOOKUP(D231,GL_Accounts!$A$2:$E$1048576,4,FALSE)</f>
        <v/>
      </c>
    </row>
    <row r="232">
      <c r="A232" t="inlineStr">
        <is>
          <t>INV200231</t>
        </is>
      </c>
      <c r="B232" t="n">
        <v>30</v>
      </c>
      <c r="C232" t="inlineStr">
        <is>
          <t>V0030</t>
        </is>
      </c>
      <c r="D232" t="n">
        <v>18</v>
      </c>
      <c r="E232" t="n">
        <v>64200</v>
      </c>
      <c r="F232" t="inlineStr">
        <is>
          <t>PO100184</t>
        </is>
      </c>
      <c r="G232" t="n">
        <v>20260706</v>
      </c>
      <c r="H232" t="inlineStr">
        <is>
          <t>2026-07-06</t>
        </is>
      </c>
      <c r="I232" t="n">
        <v>20260805</v>
      </c>
      <c r="J232" t="inlineStr">
        <is>
          <t>2026-08-05</t>
        </is>
      </c>
      <c r="K232" s="9" t="n">
        <v>4785.32</v>
      </c>
      <c r="L232" t="inlineStr">
        <is>
          <t>USD</t>
        </is>
      </c>
      <c r="M232" s="4" t="n">
        <v>4785.32</v>
      </c>
      <c r="N232" t="inlineStr">
        <is>
          <t>Unpaid</t>
        </is>
      </c>
      <c r="O232" t="inlineStr">
        <is>
          <t>False</t>
        </is>
      </c>
      <c r="P232" t="n">
        <v>30</v>
      </c>
      <c r="Q232">
        <f>VLOOKUP(D232,GL_Accounts!$A$2:$E$1048576,5,FALSE)</f>
        <v/>
      </c>
      <c r="R232">
        <f>VLOOKUP(D232,GL_Accounts!$A$2:$E$1048576,4,FALSE)</f>
        <v/>
      </c>
    </row>
    <row r="233">
      <c r="A233" t="inlineStr">
        <is>
          <t>INV200232</t>
        </is>
      </c>
      <c r="B233" t="n">
        <v>30</v>
      </c>
      <c r="C233" t="inlineStr">
        <is>
          <t>V0030</t>
        </is>
      </c>
      <c r="D233" t="n">
        <v>18</v>
      </c>
      <c r="E233" t="n">
        <v>64200</v>
      </c>
      <c r="F233" t="inlineStr">
        <is>
          <t>PO100184</t>
        </is>
      </c>
      <c r="G233" t="n">
        <v>20260814</v>
      </c>
      <c r="H233" t="inlineStr">
        <is>
          <t>2026-08-14</t>
        </is>
      </c>
      <c r="I233" t="n">
        <v>20260913</v>
      </c>
      <c r="J233" t="inlineStr">
        <is>
          <t>2026-09-13</t>
        </is>
      </c>
      <c r="K233" s="9" t="n">
        <v>34050.82</v>
      </c>
      <c r="L233" t="inlineStr">
        <is>
          <t>USD</t>
        </is>
      </c>
      <c r="M233" s="4" t="n">
        <v>34050.82</v>
      </c>
      <c r="N233" t="inlineStr">
        <is>
          <t>Paid</t>
        </is>
      </c>
      <c r="O233" t="inlineStr">
        <is>
          <t>False</t>
        </is>
      </c>
      <c r="P233" t="n">
        <v>30</v>
      </c>
      <c r="Q233">
        <f>VLOOKUP(D233,GL_Accounts!$A$2:$E$1048576,5,FALSE)</f>
        <v/>
      </c>
      <c r="R233">
        <f>VLOOKUP(D233,GL_Accounts!$A$2:$E$1048576,4,FALSE)</f>
        <v/>
      </c>
    </row>
    <row r="234">
      <c r="A234" t="inlineStr">
        <is>
          <t>INV200233</t>
        </is>
      </c>
      <c r="B234" t="n">
        <v>2</v>
      </c>
      <c r="C234" t="inlineStr">
        <is>
          <t>V0002</t>
        </is>
      </c>
      <c r="D234" t="n">
        <v>13</v>
      </c>
      <c r="E234" t="n">
        <v>62400</v>
      </c>
      <c r="F234" t="inlineStr">
        <is>
          <t>PO100185</t>
        </is>
      </c>
      <c r="G234" t="n">
        <v>20250725</v>
      </c>
      <c r="H234" t="inlineStr">
        <is>
          <t>2025-07-25</t>
        </is>
      </c>
      <c r="I234" t="n">
        <v>20250908</v>
      </c>
      <c r="J234" t="inlineStr">
        <is>
          <t>2025-09-08</t>
        </is>
      </c>
      <c r="K234" s="9" t="n">
        <v>4911.73</v>
      </c>
      <c r="L234" t="inlineStr">
        <is>
          <t>USD</t>
        </is>
      </c>
      <c r="M234" s="4" t="n">
        <v>4911.73</v>
      </c>
      <c r="N234" t="inlineStr">
        <is>
          <t>Paid</t>
        </is>
      </c>
      <c r="O234" t="inlineStr">
        <is>
          <t>False</t>
        </is>
      </c>
      <c r="P234" t="n">
        <v>45</v>
      </c>
      <c r="Q234">
        <f>VLOOKUP(D234,GL_Accounts!$A$2:$E$1048576,5,FALSE)</f>
        <v/>
      </c>
      <c r="R234">
        <f>VLOOKUP(D234,GL_Accounts!$A$2:$E$1048576,4,FALSE)</f>
        <v/>
      </c>
    </row>
    <row r="235">
      <c r="A235" t="inlineStr">
        <is>
          <t>INV200234</t>
        </is>
      </c>
      <c r="B235" t="n">
        <v>2</v>
      </c>
      <c r="C235" t="inlineStr">
        <is>
          <t>V0002</t>
        </is>
      </c>
      <c r="D235" t="n">
        <v>10</v>
      </c>
      <c r="E235" t="n">
        <v>62100</v>
      </c>
      <c r="F235" t="inlineStr">
        <is>
          <t>PO100186</t>
        </is>
      </c>
      <c r="G235" t="n">
        <v>20241126</v>
      </c>
      <c r="H235" t="inlineStr">
        <is>
          <t>2024-11-26</t>
        </is>
      </c>
      <c r="I235" t="n">
        <v>20250110</v>
      </c>
      <c r="J235" t="inlineStr">
        <is>
          <t>2025-01-10</t>
        </is>
      </c>
      <c r="K235" s="9" t="n">
        <v>4078.59</v>
      </c>
      <c r="L235" t="inlineStr">
        <is>
          <t>USD</t>
        </is>
      </c>
      <c r="M235" s="4" t="n">
        <v>4078.59</v>
      </c>
      <c r="N235" t="inlineStr">
        <is>
          <t>Paid</t>
        </is>
      </c>
      <c r="O235" t="inlineStr">
        <is>
          <t>False</t>
        </is>
      </c>
      <c r="P235" t="n">
        <v>45</v>
      </c>
      <c r="Q235">
        <f>VLOOKUP(D235,GL_Accounts!$A$2:$E$1048576,5,FALSE)</f>
        <v/>
      </c>
      <c r="R235">
        <f>VLOOKUP(D235,GL_Accounts!$A$2:$E$1048576,4,FALSE)</f>
        <v/>
      </c>
    </row>
    <row r="236">
      <c r="A236" t="inlineStr">
        <is>
          <t>INV200235</t>
        </is>
      </c>
      <c r="B236" t="n">
        <v>2</v>
      </c>
      <c r="C236" t="inlineStr">
        <is>
          <t>V0002</t>
        </is>
      </c>
      <c r="D236" t="n">
        <v>12</v>
      </c>
      <c r="E236" t="n">
        <v>62300</v>
      </c>
      <c r="F236" t="inlineStr">
        <is>
          <t>PO100186</t>
        </is>
      </c>
      <c r="G236" t="n">
        <v>20241224</v>
      </c>
      <c r="H236" t="inlineStr">
        <is>
          <t>2024-12-24</t>
        </is>
      </c>
      <c r="I236" t="n">
        <v>20250207</v>
      </c>
      <c r="J236" t="inlineStr">
        <is>
          <t>2025-02-07</t>
        </is>
      </c>
      <c r="K236" s="9" t="n">
        <v>4563.56</v>
      </c>
      <c r="L236" t="inlineStr">
        <is>
          <t>USD</t>
        </is>
      </c>
      <c r="M236" s="4" t="n">
        <v>4563.56</v>
      </c>
      <c r="N236" t="inlineStr">
        <is>
          <t>Paid</t>
        </is>
      </c>
      <c r="O236" t="inlineStr">
        <is>
          <t>False</t>
        </is>
      </c>
      <c r="P236" t="n">
        <v>45</v>
      </c>
      <c r="Q236">
        <f>VLOOKUP(D236,GL_Accounts!$A$2:$E$1048576,5,FALSE)</f>
        <v/>
      </c>
      <c r="R236">
        <f>VLOOKUP(D236,GL_Accounts!$A$2:$E$1048576,4,FALSE)</f>
        <v/>
      </c>
    </row>
    <row r="237">
      <c r="A237" t="inlineStr">
        <is>
          <t>INV200236</t>
        </is>
      </c>
      <c r="B237" t="n">
        <v>9</v>
      </c>
      <c r="C237" t="inlineStr">
        <is>
          <t>V0009</t>
        </is>
      </c>
      <c r="D237" t="n">
        <v>6</v>
      </c>
      <c r="E237" t="n">
        <v>61100</v>
      </c>
      <c r="F237" t="inlineStr">
        <is>
          <t>PO100187</t>
        </is>
      </c>
      <c r="G237" t="n">
        <v>20251108</v>
      </c>
      <c r="H237" t="inlineStr">
        <is>
          <t>2025-11-08</t>
        </is>
      </c>
      <c r="I237" t="n">
        <v>20251123</v>
      </c>
      <c r="J237" t="inlineStr">
        <is>
          <t>2025-11-23</t>
        </is>
      </c>
      <c r="K237" s="9" t="n">
        <v>6685.02</v>
      </c>
      <c r="L237" t="inlineStr">
        <is>
          <t>USD</t>
        </is>
      </c>
      <c r="M237" s="4" t="n">
        <v>6685.02</v>
      </c>
      <c r="N237" t="inlineStr">
        <is>
          <t>Paid</t>
        </is>
      </c>
      <c r="O237" t="inlineStr">
        <is>
          <t>False</t>
        </is>
      </c>
      <c r="P237" t="n">
        <v>15</v>
      </c>
      <c r="Q237">
        <f>VLOOKUP(D237,GL_Accounts!$A$2:$E$1048576,5,FALSE)</f>
        <v/>
      </c>
      <c r="R237">
        <f>VLOOKUP(D237,GL_Accounts!$A$2:$E$1048576,4,FALSE)</f>
        <v/>
      </c>
    </row>
    <row r="238">
      <c r="A238" t="inlineStr">
        <is>
          <t>INV200237</t>
        </is>
      </c>
      <c r="B238" t="n">
        <v>25</v>
      </c>
      <c r="C238" t="inlineStr">
        <is>
          <t>V0025</t>
        </is>
      </c>
      <c r="D238" t="n">
        <v>6</v>
      </c>
      <c r="E238" t="n">
        <v>61100</v>
      </c>
      <c r="F238" t="inlineStr">
        <is>
          <t>PO100188</t>
        </is>
      </c>
      <c r="G238" t="n">
        <v>20250118</v>
      </c>
      <c r="H238" t="inlineStr">
        <is>
          <t>2025-01-18</t>
        </is>
      </c>
      <c r="I238" t="n">
        <v>20250217</v>
      </c>
      <c r="J238" t="inlineStr">
        <is>
          <t>2025-02-17</t>
        </is>
      </c>
      <c r="K238" s="9" t="n">
        <v>12490.1</v>
      </c>
      <c r="L238" t="inlineStr">
        <is>
          <t>GBP</t>
        </is>
      </c>
      <c r="M238" s="4" t="n">
        <v>15862.43</v>
      </c>
      <c r="N238" t="inlineStr">
        <is>
          <t>Paid</t>
        </is>
      </c>
      <c r="O238" t="inlineStr">
        <is>
          <t>False</t>
        </is>
      </c>
      <c r="P238" t="n">
        <v>30</v>
      </c>
      <c r="Q238">
        <f>VLOOKUP(D238,GL_Accounts!$A$2:$E$1048576,5,FALSE)</f>
        <v/>
      </c>
      <c r="R238">
        <f>VLOOKUP(D238,GL_Accounts!$A$2:$E$1048576,4,FALSE)</f>
        <v/>
      </c>
    </row>
    <row r="239">
      <c r="A239" t="inlineStr">
        <is>
          <t>INV200238</t>
        </is>
      </c>
      <c r="B239" t="n">
        <v>48</v>
      </c>
      <c r="C239" t="inlineStr">
        <is>
          <t>V0048</t>
        </is>
      </c>
      <c r="D239" t="n">
        <v>4</v>
      </c>
      <c r="E239" t="n">
        <v>60200</v>
      </c>
      <c r="F239" t="inlineStr">
        <is>
          <t>PO100189</t>
        </is>
      </c>
      <c r="G239" t="n">
        <v>20260410</v>
      </c>
      <c r="H239" t="inlineStr">
        <is>
          <t>2026-04-10</t>
        </is>
      </c>
      <c r="I239" t="n">
        <v>20260525</v>
      </c>
      <c r="J239" t="inlineStr">
        <is>
          <t>2026-05-25</t>
        </is>
      </c>
      <c r="K239" s="9" t="n">
        <v>7148.4</v>
      </c>
      <c r="L239" t="inlineStr">
        <is>
          <t>USD</t>
        </is>
      </c>
      <c r="M239" s="4" t="n">
        <v>7148.4</v>
      </c>
      <c r="N239" t="inlineStr">
        <is>
          <t>Paid</t>
        </is>
      </c>
      <c r="O239" t="inlineStr">
        <is>
          <t>False</t>
        </is>
      </c>
      <c r="P239" t="n">
        <v>45</v>
      </c>
      <c r="Q239">
        <f>VLOOKUP(D239,GL_Accounts!$A$2:$E$1048576,5,FALSE)</f>
        <v/>
      </c>
      <c r="R239">
        <f>VLOOKUP(D239,GL_Accounts!$A$2:$E$1048576,4,FALSE)</f>
        <v/>
      </c>
    </row>
    <row r="240">
      <c r="A240" t="inlineStr">
        <is>
          <t>INV200239</t>
        </is>
      </c>
      <c r="B240" t="n">
        <v>7</v>
      </c>
      <c r="C240" t="inlineStr">
        <is>
          <t>V0007</t>
        </is>
      </c>
      <c r="D240" t="n">
        <v>7</v>
      </c>
      <c r="E240" t="n">
        <v>61200</v>
      </c>
      <c r="F240" t="inlineStr">
        <is>
          <t>PO100190</t>
        </is>
      </c>
      <c r="G240" t="n">
        <v>20250831</v>
      </c>
      <c r="H240" t="inlineStr">
        <is>
          <t>2025-08-31</t>
        </is>
      </c>
      <c r="I240" t="n">
        <v>20251015</v>
      </c>
      <c r="J240" t="inlineStr">
        <is>
          <t>2025-10-15</t>
        </is>
      </c>
      <c r="K240" s="9" t="n">
        <v>5703.33</v>
      </c>
      <c r="L240" t="inlineStr">
        <is>
          <t>USD</t>
        </is>
      </c>
      <c r="M240" s="4" t="n">
        <v>5703.33</v>
      </c>
      <c r="N240" t="inlineStr">
        <is>
          <t>Paid</t>
        </is>
      </c>
      <c r="O240" t="inlineStr">
        <is>
          <t>False</t>
        </is>
      </c>
      <c r="P240" t="n">
        <v>45</v>
      </c>
      <c r="Q240">
        <f>VLOOKUP(D240,GL_Accounts!$A$2:$E$1048576,5,FALSE)</f>
        <v/>
      </c>
      <c r="R240">
        <f>VLOOKUP(D240,GL_Accounts!$A$2:$E$1048576,4,FALSE)</f>
        <v/>
      </c>
    </row>
    <row r="241">
      <c r="A241" t="inlineStr">
        <is>
          <t>INV200240</t>
        </is>
      </c>
      <c r="B241" t="n">
        <v>7</v>
      </c>
      <c r="C241" t="inlineStr">
        <is>
          <t>V0007</t>
        </is>
      </c>
      <c r="D241" t="n">
        <v>8</v>
      </c>
      <c r="E241" t="n">
        <v>61300</v>
      </c>
      <c r="F241" t="inlineStr">
        <is>
          <t>PO100190</t>
        </is>
      </c>
      <c r="G241" t="n">
        <v>20251003</v>
      </c>
      <c r="H241" t="inlineStr">
        <is>
          <t>2025-10-03</t>
        </is>
      </c>
      <c r="I241" t="n">
        <v>20251117</v>
      </c>
      <c r="J241" t="inlineStr">
        <is>
          <t>2025-11-17</t>
        </is>
      </c>
      <c r="K241" s="9" t="n">
        <v>2019.65</v>
      </c>
      <c r="L241" t="inlineStr">
        <is>
          <t>USD</t>
        </is>
      </c>
      <c r="M241" s="4" t="n">
        <v>2019.65</v>
      </c>
      <c r="N241" t="inlineStr">
        <is>
          <t>Paid</t>
        </is>
      </c>
      <c r="O241" t="inlineStr">
        <is>
          <t>False</t>
        </is>
      </c>
      <c r="P241" t="n">
        <v>45</v>
      </c>
      <c r="Q241">
        <f>VLOOKUP(D241,GL_Accounts!$A$2:$E$1048576,5,FALSE)</f>
        <v/>
      </c>
      <c r="R241">
        <f>VLOOKUP(D241,GL_Accounts!$A$2:$E$1048576,4,FALSE)</f>
        <v/>
      </c>
    </row>
    <row r="242">
      <c r="A242" t="inlineStr">
        <is>
          <t>INV200241</t>
        </is>
      </c>
      <c r="B242" t="n">
        <v>7</v>
      </c>
      <c r="C242" t="inlineStr">
        <is>
          <t>V0007</t>
        </is>
      </c>
      <c r="D242" t="n">
        <v>6</v>
      </c>
      <c r="E242" t="n">
        <v>61100</v>
      </c>
      <c r="F242" t="inlineStr">
        <is>
          <t>PO100190</t>
        </is>
      </c>
      <c r="G242" t="n">
        <v>20251101</v>
      </c>
      <c r="H242" t="inlineStr">
        <is>
          <t>2025-11-01</t>
        </is>
      </c>
      <c r="I242" t="n">
        <v>20251216</v>
      </c>
      <c r="J242" t="inlineStr">
        <is>
          <t>2025-12-16</t>
        </is>
      </c>
      <c r="K242" s="9" t="n">
        <v>2328.45</v>
      </c>
      <c r="L242" t="inlineStr">
        <is>
          <t>USD</t>
        </is>
      </c>
      <c r="M242" s="4" t="n">
        <v>2328.45</v>
      </c>
      <c r="N242" t="inlineStr">
        <is>
          <t>Paid</t>
        </is>
      </c>
      <c r="O242" t="inlineStr">
        <is>
          <t>False</t>
        </is>
      </c>
      <c r="P242" t="n">
        <v>45</v>
      </c>
      <c r="Q242">
        <f>VLOOKUP(D242,GL_Accounts!$A$2:$E$1048576,5,FALSE)</f>
        <v/>
      </c>
      <c r="R242">
        <f>VLOOKUP(D242,GL_Accounts!$A$2:$E$1048576,4,FALSE)</f>
        <v/>
      </c>
    </row>
    <row r="243">
      <c r="A243" t="inlineStr">
        <is>
          <t>INV200242</t>
        </is>
      </c>
      <c r="B243" t="n">
        <v>17</v>
      </c>
      <c r="C243" t="inlineStr">
        <is>
          <t>V0017</t>
        </is>
      </c>
      <c r="D243" t="n">
        <v>9</v>
      </c>
      <c r="E243" t="n">
        <v>61400</v>
      </c>
      <c r="F243" t="inlineStr">
        <is>
          <t>PO100191</t>
        </is>
      </c>
      <c r="G243" t="n">
        <v>20260309</v>
      </c>
      <c r="H243" t="inlineStr">
        <is>
          <t>2026-03-09</t>
        </is>
      </c>
      <c r="I243" t="n">
        <v>20260423</v>
      </c>
      <c r="J243" t="inlineStr">
        <is>
          <t>2026-04-23</t>
        </is>
      </c>
      <c r="K243" s="9" t="n">
        <v>5975.62</v>
      </c>
      <c r="L243" t="inlineStr">
        <is>
          <t>USD</t>
        </is>
      </c>
      <c r="M243" s="4" t="n">
        <v>5975.62</v>
      </c>
      <c r="N243" t="inlineStr">
        <is>
          <t>Paid</t>
        </is>
      </c>
      <c r="O243" t="inlineStr">
        <is>
          <t>False</t>
        </is>
      </c>
      <c r="P243" t="n">
        <v>45</v>
      </c>
      <c r="Q243">
        <f>VLOOKUP(D243,GL_Accounts!$A$2:$E$1048576,5,FALSE)</f>
        <v/>
      </c>
      <c r="R243">
        <f>VLOOKUP(D243,GL_Accounts!$A$2:$E$1048576,4,FALSE)</f>
        <v/>
      </c>
    </row>
    <row r="244">
      <c r="A244" t="inlineStr">
        <is>
          <t>INV200243</t>
        </is>
      </c>
      <c r="B244" t="n">
        <v>31</v>
      </c>
      <c r="C244" t="inlineStr">
        <is>
          <t>V0031</t>
        </is>
      </c>
      <c r="D244" t="n">
        <v>4</v>
      </c>
      <c r="E244" t="n">
        <v>60200</v>
      </c>
      <c r="F244" t="inlineStr">
        <is>
          <t>PO100192</t>
        </is>
      </c>
      <c r="G244" t="n">
        <v>20251231</v>
      </c>
      <c r="H244" t="inlineStr">
        <is>
          <t>2025-12-31</t>
        </is>
      </c>
      <c r="I244" t="n">
        <v>20260130</v>
      </c>
      <c r="J244" t="inlineStr">
        <is>
          <t>2026-01-30</t>
        </is>
      </c>
      <c r="K244" s="9" t="n">
        <v>11478.9</v>
      </c>
      <c r="L244" t="inlineStr">
        <is>
          <t>USD</t>
        </is>
      </c>
      <c r="M244" s="4" t="n">
        <v>11478.9</v>
      </c>
      <c r="N244" t="inlineStr">
        <is>
          <t>Paid</t>
        </is>
      </c>
      <c r="O244" t="inlineStr">
        <is>
          <t>False</t>
        </is>
      </c>
      <c r="P244" t="n">
        <v>30</v>
      </c>
      <c r="Q244">
        <f>VLOOKUP(D244,GL_Accounts!$A$2:$E$1048576,5,FALSE)</f>
        <v/>
      </c>
      <c r="R244">
        <f>VLOOKUP(D244,GL_Accounts!$A$2:$E$1048576,4,FALSE)</f>
        <v/>
      </c>
    </row>
    <row r="245">
      <c r="A245" t="inlineStr">
        <is>
          <t>INV200244</t>
        </is>
      </c>
      <c r="B245" t="n">
        <v>31</v>
      </c>
      <c r="C245" t="inlineStr">
        <is>
          <t>V0031</t>
        </is>
      </c>
      <c r="D245" t="n">
        <v>4</v>
      </c>
      <c r="E245" t="n">
        <v>60200</v>
      </c>
      <c r="F245" t="inlineStr">
        <is>
          <t>PO100192</t>
        </is>
      </c>
      <c r="G245" t="n">
        <v>20260118</v>
      </c>
      <c r="H245" t="inlineStr">
        <is>
          <t>2026-01-18</t>
        </is>
      </c>
      <c r="I245" t="n">
        <v>20260217</v>
      </c>
      <c r="J245" t="inlineStr">
        <is>
          <t>2026-02-17</t>
        </is>
      </c>
      <c r="K245" s="9" t="n">
        <v>1493.64</v>
      </c>
      <c r="L245" t="inlineStr">
        <is>
          <t>USD</t>
        </is>
      </c>
      <c r="M245" s="4" t="n">
        <v>1493.64</v>
      </c>
      <c r="N245" t="inlineStr">
        <is>
          <t>Paid</t>
        </is>
      </c>
      <c r="O245" t="inlineStr">
        <is>
          <t>False</t>
        </is>
      </c>
      <c r="P245" t="n">
        <v>30</v>
      </c>
      <c r="Q245">
        <f>VLOOKUP(D245,GL_Accounts!$A$2:$E$1048576,5,FALSE)</f>
        <v/>
      </c>
      <c r="R245">
        <f>VLOOKUP(D245,GL_Accounts!$A$2:$E$1048576,4,FALSE)</f>
        <v/>
      </c>
    </row>
    <row r="246">
      <c r="A246" t="inlineStr">
        <is>
          <t>INV200245</t>
        </is>
      </c>
      <c r="B246" t="n">
        <v>31</v>
      </c>
      <c r="C246" t="inlineStr">
        <is>
          <t>V0031</t>
        </is>
      </c>
      <c r="D246" t="n">
        <v>2</v>
      </c>
      <c r="E246" t="n">
        <v>60110</v>
      </c>
      <c r="F246" t="inlineStr">
        <is>
          <t>PO100192</t>
        </is>
      </c>
      <c r="G246" t="n">
        <v>20260119</v>
      </c>
      <c r="H246" t="inlineStr">
        <is>
          <t>2026-01-19</t>
        </is>
      </c>
      <c r="I246" t="n">
        <v>20260218</v>
      </c>
      <c r="J246" t="inlineStr">
        <is>
          <t>2026-02-18</t>
        </is>
      </c>
      <c r="K246" s="9" t="n">
        <v>10744.44</v>
      </c>
      <c r="L246" t="inlineStr">
        <is>
          <t>USD</t>
        </is>
      </c>
      <c r="M246" s="4" t="n">
        <v>10744.44</v>
      </c>
      <c r="N246" t="inlineStr">
        <is>
          <t>Paid</t>
        </is>
      </c>
      <c r="O246" t="inlineStr">
        <is>
          <t>False</t>
        </is>
      </c>
      <c r="P246" t="n">
        <v>30</v>
      </c>
      <c r="Q246">
        <f>VLOOKUP(D246,GL_Accounts!$A$2:$E$1048576,5,FALSE)</f>
        <v/>
      </c>
      <c r="R246">
        <f>VLOOKUP(D246,GL_Accounts!$A$2:$E$1048576,4,FALSE)</f>
        <v/>
      </c>
    </row>
    <row r="247">
      <c r="A247" t="inlineStr">
        <is>
          <t>INV200246</t>
        </is>
      </c>
      <c r="B247" t="n">
        <v>27</v>
      </c>
      <c r="C247" t="inlineStr">
        <is>
          <t>V0027</t>
        </is>
      </c>
      <c r="D247" t="n">
        <v>8</v>
      </c>
      <c r="E247" t="n">
        <v>61300</v>
      </c>
      <c r="F247" t="inlineStr">
        <is>
          <t>PO100193</t>
        </is>
      </c>
      <c r="G247" t="n">
        <v>20241221</v>
      </c>
      <c r="H247" t="inlineStr">
        <is>
          <t>2024-12-21</t>
        </is>
      </c>
      <c r="I247" t="n">
        <v>20250120</v>
      </c>
      <c r="J247" t="inlineStr">
        <is>
          <t>2025-01-20</t>
        </is>
      </c>
      <c r="K247" s="9" t="n">
        <v>12754.5</v>
      </c>
      <c r="L247" t="inlineStr">
        <is>
          <t>USD</t>
        </is>
      </c>
      <c r="M247" s="4" t="n">
        <v>12754.5</v>
      </c>
      <c r="N247" t="inlineStr">
        <is>
          <t>Paid</t>
        </is>
      </c>
      <c r="O247" t="inlineStr">
        <is>
          <t>False</t>
        </is>
      </c>
      <c r="P247" t="n">
        <v>30</v>
      </c>
      <c r="Q247">
        <f>VLOOKUP(D247,GL_Accounts!$A$2:$E$1048576,5,FALSE)</f>
        <v/>
      </c>
      <c r="R247">
        <f>VLOOKUP(D247,GL_Accounts!$A$2:$E$1048576,4,FALSE)</f>
        <v/>
      </c>
    </row>
    <row r="248">
      <c r="A248" t="inlineStr">
        <is>
          <t>INV200247</t>
        </is>
      </c>
      <c r="B248" t="n">
        <v>27</v>
      </c>
      <c r="C248" t="inlineStr">
        <is>
          <t>V0027</t>
        </is>
      </c>
      <c r="D248" t="n">
        <v>8</v>
      </c>
      <c r="E248" t="n">
        <v>61300</v>
      </c>
      <c r="F248" t="inlineStr">
        <is>
          <t>PO100193</t>
        </is>
      </c>
      <c r="G248" t="n">
        <v>20250111</v>
      </c>
      <c r="H248" t="inlineStr">
        <is>
          <t>2025-01-11</t>
        </is>
      </c>
      <c r="I248" t="n">
        <v>20250210</v>
      </c>
      <c r="J248" t="inlineStr">
        <is>
          <t>2025-02-10</t>
        </is>
      </c>
      <c r="K248" s="9" t="n">
        <v>15028.69</v>
      </c>
      <c r="L248" t="inlineStr">
        <is>
          <t>USD</t>
        </is>
      </c>
      <c r="M248" s="4" t="n">
        <v>15028.69</v>
      </c>
      <c r="N248" t="inlineStr">
        <is>
          <t>Paid</t>
        </is>
      </c>
      <c r="O248" t="inlineStr">
        <is>
          <t>False</t>
        </is>
      </c>
      <c r="P248" t="n">
        <v>30</v>
      </c>
      <c r="Q248">
        <f>VLOOKUP(D248,GL_Accounts!$A$2:$E$1048576,5,FALSE)</f>
        <v/>
      </c>
      <c r="R248">
        <f>VLOOKUP(D248,GL_Accounts!$A$2:$E$1048576,4,FALSE)</f>
        <v/>
      </c>
    </row>
    <row r="249">
      <c r="A249" t="inlineStr">
        <is>
          <t>INV200248</t>
        </is>
      </c>
      <c r="B249" t="n">
        <v>32</v>
      </c>
      <c r="C249" t="inlineStr">
        <is>
          <t>V0032</t>
        </is>
      </c>
      <c r="D249" t="n">
        <v>8</v>
      </c>
      <c r="E249" t="n">
        <v>61300</v>
      </c>
      <c r="F249" t="inlineStr">
        <is>
          <t>PO100194</t>
        </is>
      </c>
      <c r="G249" t="n">
        <v>20250728</v>
      </c>
      <c r="H249" t="inlineStr">
        <is>
          <t>2025-07-28</t>
        </is>
      </c>
      <c r="I249" t="n">
        <v>20250911</v>
      </c>
      <c r="J249" t="inlineStr">
        <is>
          <t>2025-09-11</t>
        </is>
      </c>
      <c r="K249" s="9" t="n">
        <v>4479.83</v>
      </c>
      <c r="L249" t="inlineStr">
        <is>
          <t>USD</t>
        </is>
      </c>
      <c r="M249" s="4" t="n">
        <v>4479.83</v>
      </c>
      <c r="N249" t="inlineStr">
        <is>
          <t>Paid</t>
        </is>
      </c>
      <c r="O249" t="inlineStr">
        <is>
          <t>False</t>
        </is>
      </c>
      <c r="P249" t="n">
        <v>45</v>
      </c>
      <c r="Q249">
        <f>VLOOKUP(D249,GL_Accounts!$A$2:$E$1048576,5,FALSE)</f>
        <v/>
      </c>
      <c r="R249">
        <f>VLOOKUP(D249,GL_Accounts!$A$2:$E$1048576,4,FALSE)</f>
        <v/>
      </c>
    </row>
    <row r="250">
      <c r="A250" t="inlineStr">
        <is>
          <t>INV200249</t>
        </is>
      </c>
      <c r="B250" t="n">
        <v>8</v>
      </c>
      <c r="C250" t="inlineStr">
        <is>
          <t>V0008</t>
        </is>
      </c>
      <c r="D250" t="n">
        <v>20</v>
      </c>
      <c r="E250" t="n">
        <v>65100</v>
      </c>
      <c r="F250" t="inlineStr">
        <is>
          <t>PO100195</t>
        </is>
      </c>
      <c r="G250" t="n">
        <v>20250426</v>
      </c>
      <c r="H250" t="inlineStr">
        <is>
          <t>2025-04-26</t>
        </is>
      </c>
      <c r="I250" t="n">
        <v>20250610</v>
      </c>
      <c r="J250" t="inlineStr">
        <is>
          <t>2025-06-10</t>
        </is>
      </c>
      <c r="K250" s="9" t="n">
        <v>264.03</v>
      </c>
      <c r="L250" t="inlineStr">
        <is>
          <t>EUR</t>
        </is>
      </c>
      <c r="M250" s="4" t="n">
        <v>285.15</v>
      </c>
      <c r="N250" t="inlineStr">
        <is>
          <t>Paid</t>
        </is>
      </c>
      <c r="O250" t="inlineStr">
        <is>
          <t>False</t>
        </is>
      </c>
      <c r="P250" t="n">
        <v>45</v>
      </c>
      <c r="Q250">
        <f>VLOOKUP(D250,GL_Accounts!$A$2:$E$1048576,5,FALSE)</f>
        <v/>
      </c>
      <c r="R250">
        <f>VLOOKUP(D250,GL_Accounts!$A$2:$E$1048576,4,FALSE)</f>
        <v/>
      </c>
    </row>
    <row r="251">
      <c r="A251" t="inlineStr">
        <is>
          <t>INV200250</t>
        </is>
      </c>
      <c r="B251" t="n">
        <v>40</v>
      </c>
      <c r="C251" t="inlineStr">
        <is>
          <t>V0040</t>
        </is>
      </c>
      <c r="D251" t="n">
        <v>10</v>
      </c>
      <c r="E251" t="n">
        <v>62100</v>
      </c>
      <c r="F251" t="inlineStr">
        <is>
          <t>PO100196</t>
        </is>
      </c>
      <c r="G251" t="n">
        <v>20250102</v>
      </c>
      <c r="H251" t="inlineStr">
        <is>
          <t>2025-01-02</t>
        </is>
      </c>
      <c r="I251" t="n">
        <v>20250201</v>
      </c>
      <c r="J251" t="inlineStr">
        <is>
          <t>2025-02-01</t>
        </is>
      </c>
      <c r="K251" s="9" t="n">
        <v>1552.99</v>
      </c>
      <c r="L251" t="inlineStr">
        <is>
          <t>USD</t>
        </is>
      </c>
      <c r="M251" s="4" t="n">
        <v>1552.99</v>
      </c>
      <c r="N251" t="inlineStr">
        <is>
          <t>Paid</t>
        </is>
      </c>
      <c r="O251" t="inlineStr">
        <is>
          <t>False</t>
        </is>
      </c>
      <c r="P251" t="n">
        <v>30</v>
      </c>
      <c r="Q251">
        <f>VLOOKUP(D251,GL_Accounts!$A$2:$E$1048576,5,FALSE)</f>
        <v/>
      </c>
      <c r="R251">
        <f>VLOOKUP(D251,GL_Accounts!$A$2:$E$1048576,4,FALSE)</f>
        <v/>
      </c>
    </row>
    <row r="252">
      <c r="A252" t="inlineStr">
        <is>
          <t>INV200251</t>
        </is>
      </c>
      <c r="B252" t="n">
        <v>40</v>
      </c>
      <c r="C252" t="inlineStr">
        <is>
          <t>V0040</t>
        </is>
      </c>
      <c r="D252" t="n">
        <v>12</v>
      </c>
      <c r="E252" t="n">
        <v>62300</v>
      </c>
      <c r="F252" t="inlineStr">
        <is>
          <t>PO100197</t>
        </is>
      </c>
      <c r="G252" t="n">
        <v>20250607</v>
      </c>
      <c r="H252" t="inlineStr">
        <is>
          <t>2025-06-07</t>
        </is>
      </c>
      <c r="I252" t="n">
        <v>20250707</v>
      </c>
      <c r="J252" t="inlineStr">
        <is>
          <t>2025-07-07</t>
        </is>
      </c>
      <c r="K252" s="9" t="n">
        <v>839.67</v>
      </c>
      <c r="L252" t="inlineStr">
        <is>
          <t>USD</t>
        </is>
      </c>
      <c r="M252" s="4" t="n">
        <v>839.67</v>
      </c>
      <c r="N252" t="inlineStr">
        <is>
          <t>Paid</t>
        </is>
      </c>
      <c r="O252" t="inlineStr">
        <is>
          <t>False</t>
        </is>
      </c>
      <c r="P252" t="n">
        <v>30</v>
      </c>
      <c r="Q252">
        <f>VLOOKUP(D252,GL_Accounts!$A$2:$E$1048576,5,FALSE)</f>
        <v/>
      </c>
      <c r="R252">
        <f>VLOOKUP(D252,GL_Accounts!$A$2:$E$1048576,4,FALSE)</f>
        <v/>
      </c>
    </row>
    <row r="253">
      <c r="A253" t="inlineStr">
        <is>
          <t>INV200252</t>
        </is>
      </c>
      <c r="B253" t="n">
        <v>24</v>
      </c>
      <c r="C253" t="inlineStr">
        <is>
          <t>V0024</t>
        </is>
      </c>
      <c r="D253" t="n">
        <v>18</v>
      </c>
      <c r="E253" t="n">
        <v>64200</v>
      </c>
      <c r="F253" t="inlineStr">
        <is>
          <t>PO100198</t>
        </is>
      </c>
      <c r="G253" t="n">
        <v>20250305</v>
      </c>
      <c r="H253" t="inlineStr">
        <is>
          <t>2025-03-05</t>
        </is>
      </c>
      <c r="I253" t="n">
        <v>20250320</v>
      </c>
      <c r="J253" t="inlineStr">
        <is>
          <t>2025-03-20</t>
        </is>
      </c>
      <c r="K253" s="9" t="n">
        <v>12721.46</v>
      </c>
      <c r="L253" t="inlineStr">
        <is>
          <t>USD</t>
        </is>
      </c>
      <c r="M253" s="4" t="n">
        <v>12721.46</v>
      </c>
      <c r="N253" t="inlineStr">
        <is>
          <t>Paid</t>
        </is>
      </c>
      <c r="O253" t="inlineStr">
        <is>
          <t>False</t>
        </is>
      </c>
      <c r="P253" t="n">
        <v>15</v>
      </c>
      <c r="Q253">
        <f>VLOOKUP(D253,GL_Accounts!$A$2:$E$1048576,5,FALSE)</f>
        <v/>
      </c>
      <c r="R253">
        <f>VLOOKUP(D253,GL_Accounts!$A$2:$E$1048576,4,FALSE)</f>
        <v/>
      </c>
    </row>
    <row r="254">
      <c r="A254" t="inlineStr">
        <is>
          <t>INV200253</t>
        </is>
      </c>
      <c r="B254" t="n">
        <v>24</v>
      </c>
      <c r="C254" t="inlineStr">
        <is>
          <t>V0024</t>
        </is>
      </c>
      <c r="D254" t="n">
        <v>8</v>
      </c>
      <c r="E254" t="n">
        <v>61300</v>
      </c>
      <c r="F254" t="inlineStr">
        <is>
          <t>PO100198</t>
        </is>
      </c>
      <c r="G254" t="n">
        <v>20250421</v>
      </c>
      <c r="H254" t="inlineStr">
        <is>
          <t>2025-04-21</t>
        </is>
      </c>
      <c r="I254" t="n">
        <v>20250506</v>
      </c>
      <c r="J254" t="inlineStr">
        <is>
          <t>2025-05-06</t>
        </is>
      </c>
      <c r="K254" s="9" t="n">
        <v>7864.73</v>
      </c>
      <c r="L254" t="inlineStr">
        <is>
          <t>USD</t>
        </is>
      </c>
      <c r="M254" s="4" t="n">
        <v>7864.73</v>
      </c>
      <c r="N254" t="inlineStr">
        <is>
          <t>Paid</t>
        </is>
      </c>
      <c r="O254" t="inlineStr">
        <is>
          <t>False</t>
        </is>
      </c>
      <c r="P254" t="n">
        <v>15</v>
      </c>
      <c r="Q254">
        <f>VLOOKUP(D254,GL_Accounts!$A$2:$E$1048576,5,FALSE)</f>
        <v/>
      </c>
      <c r="R254">
        <f>VLOOKUP(D254,GL_Accounts!$A$2:$E$1048576,4,FALSE)</f>
        <v/>
      </c>
    </row>
    <row r="255">
      <c r="A255" t="inlineStr">
        <is>
          <t>INV200254</t>
        </is>
      </c>
      <c r="B255" t="n">
        <v>48</v>
      </c>
      <c r="C255" t="inlineStr">
        <is>
          <t>V0048</t>
        </is>
      </c>
      <c r="D255" t="n">
        <v>1</v>
      </c>
      <c r="E255" t="n">
        <v>60100</v>
      </c>
      <c r="F255" t="inlineStr">
        <is>
          <t>PO100199</t>
        </is>
      </c>
      <c r="G255" t="n">
        <v>20260112</v>
      </c>
      <c r="H255" t="inlineStr">
        <is>
          <t>2026-01-12</t>
        </is>
      </c>
      <c r="I255" t="n">
        <v>20260226</v>
      </c>
      <c r="J255" t="inlineStr">
        <is>
          <t>2026-02-26</t>
        </is>
      </c>
      <c r="K255" s="9" t="n">
        <v>16326.03</v>
      </c>
      <c r="L255" t="inlineStr">
        <is>
          <t>USD</t>
        </is>
      </c>
      <c r="M255" s="4" t="n">
        <v>16326.03</v>
      </c>
      <c r="N255" t="inlineStr">
        <is>
          <t>Unpaid</t>
        </is>
      </c>
      <c r="O255" t="inlineStr">
        <is>
          <t>False</t>
        </is>
      </c>
      <c r="P255" t="n">
        <v>45</v>
      </c>
      <c r="Q255">
        <f>VLOOKUP(D255,GL_Accounts!$A$2:$E$1048576,5,FALSE)</f>
        <v/>
      </c>
      <c r="R255">
        <f>VLOOKUP(D255,GL_Accounts!$A$2:$E$1048576,4,FALSE)</f>
        <v/>
      </c>
    </row>
    <row r="256">
      <c r="A256" t="inlineStr">
        <is>
          <t>INV200255</t>
        </is>
      </c>
      <c r="B256" t="n">
        <v>35</v>
      </c>
      <c r="C256" t="inlineStr">
        <is>
          <t>V0035</t>
        </is>
      </c>
      <c r="D256" t="n">
        <v>7</v>
      </c>
      <c r="E256" t="n">
        <v>61200</v>
      </c>
      <c r="F256" t="inlineStr">
        <is>
          <t>PO100200</t>
        </is>
      </c>
      <c r="G256" t="n">
        <v>20250206</v>
      </c>
      <c r="H256" t="inlineStr">
        <is>
          <t>2025-02-06</t>
        </is>
      </c>
      <c r="I256" t="n">
        <v>20250308</v>
      </c>
      <c r="J256" t="inlineStr">
        <is>
          <t>2025-03-08</t>
        </is>
      </c>
      <c r="K256" s="9" t="n">
        <v>4836.58</v>
      </c>
      <c r="L256" t="inlineStr">
        <is>
          <t>GBP</t>
        </is>
      </c>
      <c r="M256" s="4" t="n">
        <v>6142.46</v>
      </c>
      <c r="N256" t="inlineStr">
        <is>
          <t>Paid</t>
        </is>
      </c>
      <c r="O256" t="inlineStr">
        <is>
          <t>False</t>
        </is>
      </c>
      <c r="P256" t="n">
        <v>30</v>
      </c>
      <c r="Q256">
        <f>VLOOKUP(D256,GL_Accounts!$A$2:$E$1048576,5,FALSE)</f>
        <v/>
      </c>
      <c r="R256">
        <f>VLOOKUP(D256,GL_Accounts!$A$2:$E$1048576,4,FALSE)</f>
        <v/>
      </c>
    </row>
    <row r="257">
      <c r="A257" t="inlineStr">
        <is>
          <t>INV200256</t>
        </is>
      </c>
      <c r="B257" t="n">
        <v>35</v>
      </c>
      <c r="C257" t="inlineStr">
        <is>
          <t>V0035</t>
        </is>
      </c>
      <c r="D257" t="n">
        <v>6</v>
      </c>
      <c r="E257" t="n">
        <v>61100</v>
      </c>
      <c r="F257" t="inlineStr">
        <is>
          <t>PO100200</t>
        </is>
      </c>
      <c r="G257" t="n">
        <v>20250216</v>
      </c>
      <c r="H257" t="inlineStr">
        <is>
          <t>2025-02-16</t>
        </is>
      </c>
      <c r="I257" t="n">
        <v>20250318</v>
      </c>
      <c r="J257" t="inlineStr">
        <is>
          <t>2025-03-18</t>
        </is>
      </c>
      <c r="K257" s="9" t="n">
        <v>2493.78</v>
      </c>
      <c r="L257" t="inlineStr">
        <is>
          <t>GBP</t>
        </is>
      </c>
      <c r="M257" s="4" t="n">
        <v>3167.1</v>
      </c>
      <c r="N257" t="inlineStr">
        <is>
          <t>Paid</t>
        </is>
      </c>
      <c r="O257" t="inlineStr">
        <is>
          <t>False</t>
        </is>
      </c>
      <c r="P257" t="n">
        <v>30</v>
      </c>
      <c r="Q257">
        <f>VLOOKUP(D257,GL_Accounts!$A$2:$E$1048576,5,FALSE)</f>
        <v/>
      </c>
      <c r="R257">
        <f>VLOOKUP(D257,GL_Accounts!$A$2:$E$1048576,4,FALSE)</f>
        <v/>
      </c>
    </row>
    <row r="258">
      <c r="A258" t="inlineStr">
        <is>
          <t>INV200257</t>
        </is>
      </c>
      <c r="B258" t="n">
        <v>2</v>
      </c>
      <c r="C258" t="inlineStr">
        <is>
          <t>V0002</t>
        </is>
      </c>
      <c r="D258" t="n">
        <v>11</v>
      </c>
      <c r="E258" t="n">
        <v>62200</v>
      </c>
      <c r="F258" t="inlineStr">
        <is>
          <t>PO100202</t>
        </is>
      </c>
      <c r="G258" t="n">
        <v>20250516</v>
      </c>
      <c r="H258" t="inlineStr">
        <is>
          <t>2025-05-16</t>
        </is>
      </c>
      <c r="I258" t="n">
        <v>20250630</v>
      </c>
      <c r="J258" t="inlineStr">
        <is>
          <t>2025-06-30</t>
        </is>
      </c>
      <c r="K258" s="9" t="n">
        <v>729.3099999999999</v>
      </c>
      <c r="L258" t="inlineStr">
        <is>
          <t>USD</t>
        </is>
      </c>
      <c r="M258" s="4" t="n">
        <v>729.3099999999999</v>
      </c>
      <c r="N258" t="inlineStr">
        <is>
          <t>Paid</t>
        </is>
      </c>
      <c r="O258" t="inlineStr">
        <is>
          <t>False</t>
        </is>
      </c>
      <c r="P258" t="n">
        <v>45</v>
      </c>
      <c r="Q258">
        <f>VLOOKUP(D258,GL_Accounts!$A$2:$E$1048576,5,FALSE)</f>
        <v/>
      </c>
      <c r="R258">
        <f>VLOOKUP(D258,GL_Accounts!$A$2:$E$1048576,4,FALSE)</f>
        <v/>
      </c>
    </row>
    <row r="259">
      <c r="A259" t="inlineStr">
        <is>
          <t>INV200258</t>
        </is>
      </c>
      <c r="B259" t="n">
        <v>40</v>
      </c>
      <c r="C259" t="inlineStr">
        <is>
          <t>V0040</t>
        </is>
      </c>
      <c r="D259" t="n">
        <v>13</v>
      </c>
      <c r="E259" t="n">
        <v>62400</v>
      </c>
      <c r="F259" t="inlineStr">
        <is>
          <t>PO100203</t>
        </is>
      </c>
      <c r="G259" t="n">
        <v>20260125</v>
      </c>
      <c r="H259" t="inlineStr">
        <is>
          <t>2026-01-25</t>
        </is>
      </c>
      <c r="I259" t="n">
        <v>20260224</v>
      </c>
      <c r="J259" t="inlineStr">
        <is>
          <t>2026-02-24</t>
        </is>
      </c>
      <c r="K259" s="9" t="n">
        <v>2082.48</v>
      </c>
      <c r="L259" t="inlineStr">
        <is>
          <t>USD</t>
        </is>
      </c>
      <c r="M259" s="4" t="n">
        <v>2082.48</v>
      </c>
      <c r="N259" t="inlineStr">
        <is>
          <t>Paid</t>
        </is>
      </c>
      <c r="O259" t="inlineStr">
        <is>
          <t>False</t>
        </is>
      </c>
      <c r="P259" t="n">
        <v>30</v>
      </c>
      <c r="Q259">
        <f>VLOOKUP(D259,GL_Accounts!$A$2:$E$1048576,5,FALSE)</f>
        <v/>
      </c>
      <c r="R259">
        <f>VLOOKUP(D259,GL_Accounts!$A$2:$E$1048576,4,FALSE)</f>
        <v/>
      </c>
    </row>
    <row r="260">
      <c r="A260" t="inlineStr">
        <is>
          <t>INV200259</t>
        </is>
      </c>
      <c r="B260" t="n">
        <v>16</v>
      </c>
      <c r="C260" t="inlineStr">
        <is>
          <t>V0016</t>
        </is>
      </c>
      <c r="D260" t="n">
        <v>18</v>
      </c>
      <c r="E260" t="n">
        <v>64200</v>
      </c>
      <c r="F260" t="inlineStr">
        <is>
          <t>PO100204</t>
        </is>
      </c>
      <c r="G260" t="n">
        <v>20250806</v>
      </c>
      <c r="H260" t="inlineStr">
        <is>
          <t>2025-08-06</t>
        </is>
      </c>
      <c r="I260" t="n">
        <v>20250905</v>
      </c>
      <c r="J260" t="inlineStr">
        <is>
          <t>2025-09-05</t>
        </is>
      </c>
      <c r="K260" s="9" t="n">
        <v>23938.61</v>
      </c>
      <c r="L260" t="inlineStr">
        <is>
          <t>USD</t>
        </is>
      </c>
      <c r="M260" s="4" t="n">
        <v>23938.61</v>
      </c>
      <c r="N260" t="inlineStr">
        <is>
          <t>Paid</t>
        </is>
      </c>
      <c r="O260" t="inlineStr">
        <is>
          <t>False</t>
        </is>
      </c>
      <c r="P260" t="n">
        <v>30</v>
      </c>
      <c r="Q260">
        <f>VLOOKUP(D260,GL_Accounts!$A$2:$E$1048576,5,FALSE)</f>
        <v/>
      </c>
      <c r="R260">
        <f>VLOOKUP(D260,GL_Accounts!$A$2:$E$1048576,4,FALSE)</f>
        <v/>
      </c>
    </row>
    <row r="261">
      <c r="A261" t="inlineStr">
        <is>
          <t>INV200260</t>
        </is>
      </c>
      <c r="B261" t="n">
        <v>29</v>
      </c>
      <c r="C261" t="inlineStr">
        <is>
          <t>V0029</t>
        </is>
      </c>
      <c r="D261" t="n">
        <v>16</v>
      </c>
      <c r="E261" t="n">
        <v>63300</v>
      </c>
      <c r="F261" t="inlineStr">
        <is>
          <t>PO100205</t>
        </is>
      </c>
      <c r="G261" t="n">
        <v>20241122</v>
      </c>
      <c r="H261" t="inlineStr">
        <is>
          <t>2024-11-22</t>
        </is>
      </c>
      <c r="I261" t="n">
        <v>20250121</v>
      </c>
      <c r="J261" t="inlineStr">
        <is>
          <t>2025-01-21</t>
        </is>
      </c>
      <c r="K261" s="9" t="n">
        <v>2980.95</v>
      </c>
      <c r="L261" t="inlineStr">
        <is>
          <t>USD</t>
        </is>
      </c>
      <c r="M261" s="4" t="n">
        <v>2980.95</v>
      </c>
      <c r="N261" t="inlineStr">
        <is>
          <t>Paid</t>
        </is>
      </c>
      <c r="O261" t="inlineStr">
        <is>
          <t>False</t>
        </is>
      </c>
      <c r="P261" t="n">
        <v>60</v>
      </c>
      <c r="Q261">
        <f>VLOOKUP(D261,GL_Accounts!$A$2:$E$1048576,5,FALSE)</f>
        <v/>
      </c>
      <c r="R261">
        <f>VLOOKUP(D261,GL_Accounts!$A$2:$E$1048576,4,FALSE)</f>
        <v/>
      </c>
    </row>
    <row r="262">
      <c r="A262" t="inlineStr">
        <is>
          <t>INV200261</t>
        </is>
      </c>
      <c r="B262" t="n">
        <v>29</v>
      </c>
      <c r="C262" t="inlineStr">
        <is>
          <t>V0029</t>
        </is>
      </c>
      <c r="D262" t="n">
        <v>17</v>
      </c>
      <c r="E262" t="n">
        <v>64100</v>
      </c>
      <c r="F262" t="inlineStr">
        <is>
          <t>PO100205</t>
        </is>
      </c>
      <c r="G262" t="n">
        <v>20241209</v>
      </c>
      <c r="H262" t="inlineStr">
        <is>
          <t>2024-12-09</t>
        </is>
      </c>
      <c r="I262" t="n">
        <v>20250207</v>
      </c>
      <c r="J262" t="inlineStr">
        <is>
          <t>2025-02-07</t>
        </is>
      </c>
      <c r="K262" s="9" t="n">
        <v>3309.84</v>
      </c>
      <c r="L262" t="inlineStr">
        <is>
          <t>USD</t>
        </is>
      </c>
      <c r="M262" s="4" t="n">
        <v>3309.84</v>
      </c>
      <c r="N262" t="inlineStr">
        <is>
          <t>Unpaid</t>
        </is>
      </c>
      <c r="O262" t="inlineStr">
        <is>
          <t>False</t>
        </is>
      </c>
      <c r="P262" t="n">
        <v>60</v>
      </c>
      <c r="Q262">
        <f>VLOOKUP(D262,GL_Accounts!$A$2:$E$1048576,5,FALSE)</f>
        <v/>
      </c>
      <c r="R262">
        <f>VLOOKUP(D262,GL_Accounts!$A$2:$E$1048576,4,FALSE)</f>
        <v/>
      </c>
    </row>
    <row r="263">
      <c r="A263" t="inlineStr">
        <is>
          <t>INV200262</t>
        </is>
      </c>
      <c r="B263" t="n">
        <v>28</v>
      </c>
      <c r="C263" t="inlineStr">
        <is>
          <t>V0028</t>
        </is>
      </c>
      <c r="D263" t="n">
        <v>17</v>
      </c>
      <c r="E263" t="n">
        <v>64100</v>
      </c>
      <c r="F263" t="inlineStr">
        <is>
          <t>PO100206</t>
        </is>
      </c>
      <c r="G263" t="n">
        <v>20260101</v>
      </c>
      <c r="H263" t="inlineStr">
        <is>
          <t>2026-01-01</t>
        </is>
      </c>
      <c r="I263" t="n">
        <v>20260302</v>
      </c>
      <c r="J263" t="inlineStr">
        <is>
          <t>2026-03-02</t>
        </is>
      </c>
      <c r="K263" s="9" t="n">
        <v>96416.28</v>
      </c>
      <c r="L263" t="inlineStr">
        <is>
          <t>USD</t>
        </is>
      </c>
      <c r="M263" s="4" t="n">
        <v>96416.28</v>
      </c>
      <c r="N263" t="inlineStr">
        <is>
          <t>Paid</t>
        </is>
      </c>
      <c r="O263" t="inlineStr">
        <is>
          <t>False</t>
        </is>
      </c>
      <c r="P263" t="n">
        <v>60</v>
      </c>
      <c r="Q263">
        <f>VLOOKUP(D263,GL_Accounts!$A$2:$E$1048576,5,FALSE)</f>
        <v/>
      </c>
      <c r="R263">
        <f>VLOOKUP(D263,GL_Accounts!$A$2:$E$1048576,4,FALSE)</f>
        <v/>
      </c>
    </row>
    <row r="264">
      <c r="A264" t="inlineStr">
        <is>
          <t>INV200263</t>
        </is>
      </c>
      <c r="B264" t="n">
        <v>20</v>
      </c>
      <c r="C264" t="inlineStr">
        <is>
          <t>V0020</t>
        </is>
      </c>
      <c r="D264" t="n">
        <v>8</v>
      </c>
      <c r="E264" t="n">
        <v>61300</v>
      </c>
      <c r="F264" t="inlineStr">
        <is>
          <t>PO100207</t>
        </is>
      </c>
      <c r="G264" t="n">
        <v>20251114</v>
      </c>
      <c r="H264" t="inlineStr">
        <is>
          <t>2025-11-14</t>
        </is>
      </c>
      <c r="I264" t="n">
        <v>20251129</v>
      </c>
      <c r="J264" t="inlineStr">
        <is>
          <t>2025-11-29</t>
        </is>
      </c>
      <c r="K264" s="9" t="n">
        <v>11497.71</v>
      </c>
      <c r="L264" t="inlineStr">
        <is>
          <t>USD</t>
        </is>
      </c>
      <c r="M264" s="4" t="n">
        <v>11497.71</v>
      </c>
      <c r="N264" t="inlineStr">
        <is>
          <t>Paid</t>
        </is>
      </c>
      <c r="O264" t="inlineStr">
        <is>
          <t>False</t>
        </is>
      </c>
      <c r="P264" t="n">
        <v>15</v>
      </c>
      <c r="Q264">
        <f>VLOOKUP(D264,GL_Accounts!$A$2:$E$1048576,5,FALSE)</f>
        <v/>
      </c>
      <c r="R264">
        <f>VLOOKUP(D264,GL_Accounts!$A$2:$E$1048576,4,FALSE)</f>
        <v/>
      </c>
    </row>
    <row r="265">
      <c r="A265" t="inlineStr">
        <is>
          <t>INV200264</t>
        </is>
      </c>
      <c r="B265" t="n">
        <v>20</v>
      </c>
      <c r="C265" t="inlineStr">
        <is>
          <t>V0020</t>
        </is>
      </c>
      <c r="D265" t="n">
        <v>8</v>
      </c>
      <c r="E265" t="n">
        <v>61300</v>
      </c>
      <c r="F265" t="inlineStr">
        <is>
          <t>PO100207</t>
        </is>
      </c>
      <c r="G265" t="n">
        <v>20251130</v>
      </c>
      <c r="H265" t="inlineStr">
        <is>
          <t>2025-11-30</t>
        </is>
      </c>
      <c r="I265" t="n">
        <v>20251215</v>
      </c>
      <c r="J265" t="inlineStr">
        <is>
          <t>2025-12-15</t>
        </is>
      </c>
      <c r="K265" s="9" t="n">
        <v>560.21</v>
      </c>
      <c r="L265" t="inlineStr">
        <is>
          <t>USD</t>
        </is>
      </c>
      <c r="M265" s="4" t="n">
        <v>560.21</v>
      </c>
      <c r="N265" t="inlineStr">
        <is>
          <t>Paid</t>
        </is>
      </c>
      <c r="O265" t="inlineStr">
        <is>
          <t>False</t>
        </is>
      </c>
      <c r="P265" t="n">
        <v>15</v>
      </c>
      <c r="Q265">
        <f>VLOOKUP(D265,GL_Accounts!$A$2:$E$1048576,5,FALSE)</f>
        <v/>
      </c>
      <c r="R265">
        <f>VLOOKUP(D265,GL_Accounts!$A$2:$E$1048576,4,FALSE)</f>
        <v/>
      </c>
    </row>
    <row r="266">
      <c r="A266" t="inlineStr">
        <is>
          <t>INV200265</t>
        </is>
      </c>
      <c r="B266" t="n">
        <v>20</v>
      </c>
      <c r="C266" t="inlineStr">
        <is>
          <t>V0020</t>
        </is>
      </c>
      <c r="D266" t="n">
        <v>6</v>
      </c>
      <c r="E266" t="n">
        <v>61100</v>
      </c>
      <c r="F266" t="inlineStr">
        <is>
          <t>PO100207</t>
        </is>
      </c>
      <c r="G266" t="n">
        <v>20260115</v>
      </c>
      <c r="H266" t="inlineStr">
        <is>
          <t>2026-01-15</t>
        </is>
      </c>
      <c r="I266" t="n">
        <v>20260130</v>
      </c>
      <c r="J266" t="inlineStr">
        <is>
          <t>2026-01-30</t>
        </is>
      </c>
      <c r="K266" s="9" t="n">
        <v>16389.54</v>
      </c>
      <c r="L266" t="inlineStr">
        <is>
          <t>USD</t>
        </is>
      </c>
      <c r="M266" s="4" t="n">
        <v>16389.54</v>
      </c>
      <c r="N266" t="inlineStr">
        <is>
          <t>Paid</t>
        </is>
      </c>
      <c r="O266" t="inlineStr">
        <is>
          <t>False</t>
        </is>
      </c>
      <c r="P266" t="n">
        <v>15</v>
      </c>
      <c r="Q266">
        <f>VLOOKUP(D266,GL_Accounts!$A$2:$E$1048576,5,FALSE)</f>
        <v/>
      </c>
      <c r="R266">
        <f>VLOOKUP(D266,GL_Accounts!$A$2:$E$1048576,4,FALSE)</f>
        <v/>
      </c>
    </row>
    <row r="267">
      <c r="A267" t="inlineStr">
        <is>
          <t>INV200266</t>
        </is>
      </c>
      <c r="B267" t="n">
        <v>37</v>
      </c>
      <c r="C267" t="inlineStr">
        <is>
          <t>V0037</t>
        </is>
      </c>
      <c r="D267" t="n">
        <v>12</v>
      </c>
      <c r="E267" t="n">
        <v>62300</v>
      </c>
      <c r="F267" t="inlineStr">
        <is>
          <t>PO100209</t>
        </is>
      </c>
      <c r="G267" t="n">
        <v>20250619</v>
      </c>
      <c r="H267" t="inlineStr">
        <is>
          <t>2025-06-19</t>
        </is>
      </c>
      <c r="I267" t="n">
        <v>20250818</v>
      </c>
      <c r="J267" t="inlineStr">
        <is>
          <t>2025-08-18</t>
        </is>
      </c>
      <c r="K267" s="9" t="n">
        <v>2568.32</v>
      </c>
      <c r="L267" t="inlineStr">
        <is>
          <t>USD</t>
        </is>
      </c>
      <c r="M267" s="4" t="n">
        <v>2568.32</v>
      </c>
      <c r="N267" t="inlineStr">
        <is>
          <t>Paid</t>
        </is>
      </c>
      <c r="O267" t="inlineStr">
        <is>
          <t>False</t>
        </is>
      </c>
      <c r="P267" t="n">
        <v>60</v>
      </c>
      <c r="Q267">
        <f>VLOOKUP(D267,GL_Accounts!$A$2:$E$1048576,5,FALSE)</f>
        <v/>
      </c>
      <c r="R267">
        <f>VLOOKUP(D267,GL_Accounts!$A$2:$E$1048576,4,FALSE)</f>
        <v/>
      </c>
    </row>
    <row r="268">
      <c r="A268" t="inlineStr">
        <is>
          <t>INV200267</t>
        </is>
      </c>
      <c r="B268" t="n">
        <v>20</v>
      </c>
      <c r="C268" t="inlineStr">
        <is>
          <t>V0020</t>
        </is>
      </c>
      <c r="D268" t="n">
        <v>7</v>
      </c>
      <c r="E268" t="n">
        <v>61200</v>
      </c>
      <c r="F268" t="inlineStr">
        <is>
          <t>PO100210</t>
        </is>
      </c>
      <c r="G268" t="n">
        <v>20260520</v>
      </c>
      <c r="H268" t="inlineStr">
        <is>
          <t>2026-05-20</t>
        </is>
      </c>
      <c r="I268" t="n">
        <v>20260604</v>
      </c>
      <c r="J268" t="inlineStr">
        <is>
          <t>2026-06-04</t>
        </is>
      </c>
      <c r="K268" s="9" t="n">
        <v>1208.72</v>
      </c>
      <c r="L268" t="inlineStr">
        <is>
          <t>USD</t>
        </is>
      </c>
      <c r="M268" s="4" t="n">
        <v>1208.72</v>
      </c>
      <c r="N268" t="inlineStr">
        <is>
          <t>Unpaid</t>
        </is>
      </c>
      <c r="O268" t="inlineStr">
        <is>
          <t>False</t>
        </is>
      </c>
      <c r="P268" t="n">
        <v>15</v>
      </c>
      <c r="Q268">
        <f>VLOOKUP(D268,GL_Accounts!$A$2:$E$1048576,5,FALSE)</f>
        <v/>
      </c>
      <c r="R268">
        <f>VLOOKUP(D268,GL_Accounts!$A$2:$E$1048576,4,FALSE)</f>
        <v/>
      </c>
    </row>
    <row r="269">
      <c r="A269" t="inlineStr">
        <is>
          <t>INV200268</t>
        </is>
      </c>
      <c r="B269" t="n">
        <v>20</v>
      </c>
      <c r="C269" t="inlineStr">
        <is>
          <t>V0020</t>
        </is>
      </c>
      <c r="D269" t="n">
        <v>6</v>
      </c>
      <c r="E269" t="n">
        <v>61100</v>
      </c>
      <c r="F269" t="inlineStr">
        <is>
          <t>PO100210</t>
        </is>
      </c>
      <c r="G269" t="n">
        <v>20260608</v>
      </c>
      <c r="H269" t="inlineStr">
        <is>
          <t>2026-06-08</t>
        </is>
      </c>
      <c r="I269" t="n">
        <v>20260623</v>
      </c>
      <c r="J269" t="inlineStr">
        <is>
          <t>2026-06-23</t>
        </is>
      </c>
      <c r="K269" s="9" t="n">
        <v>2367.39</v>
      </c>
      <c r="L269" t="inlineStr">
        <is>
          <t>USD</t>
        </is>
      </c>
      <c r="M269" s="4" t="n">
        <v>2367.39</v>
      </c>
      <c r="N269" t="inlineStr">
        <is>
          <t>Unpaid</t>
        </is>
      </c>
      <c r="O269" t="inlineStr">
        <is>
          <t>False</t>
        </is>
      </c>
      <c r="P269" t="n">
        <v>15</v>
      </c>
      <c r="Q269">
        <f>VLOOKUP(D269,GL_Accounts!$A$2:$E$1048576,5,FALSE)</f>
        <v/>
      </c>
      <c r="R269">
        <f>VLOOKUP(D269,GL_Accounts!$A$2:$E$1048576,4,FALSE)</f>
        <v/>
      </c>
    </row>
    <row r="270">
      <c r="A270" t="inlineStr">
        <is>
          <t>INV200269</t>
        </is>
      </c>
      <c r="B270" t="n">
        <v>40</v>
      </c>
      <c r="C270" t="inlineStr">
        <is>
          <t>V0040</t>
        </is>
      </c>
      <c r="D270" t="n">
        <v>10</v>
      </c>
      <c r="E270" t="n">
        <v>62100</v>
      </c>
      <c r="F270" t="inlineStr">
        <is>
          <t>PO100211</t>
        </is>
      </c>
      <c r="G270" t="n">
        <v>20260322</v>
      </c>
      <c r="H270" t="inlineStr">
        <is>
          <t>2026-03-22</t>
        </is>
      </c>
      <c r="I270" t="n">
        <v>20260421</v>
      </c>
      <c r="J270" t="inlineStr">
        <is>
          <t>2026-04-21</t>
        </is>
      </c>
      <c r="K270" s="9" t="n">
        <v>1207.49</v>
      </c>
      <c r="L270" t="inlineStr">
        <is>
          <t>USD</t>
        </is>
      </c>
      <c r="M270" s="4" t="n">
        <v>1207.49</v>
      </c>
      <c r="N270" t="inlineStr">
        <is>
          <t>Paid</t>
        </is>
      </c>
      <c r="O270" t="inlineStr">
        <is>
          <t>False</t>
        </is>
      </c>
      <c r="P270" t="n">
        <v>30</v>
      </c>
      <c r="Q270">
        <f>VLOOKUP(D270,GL_Accounts!$A$2:$E$1048576,5,FALSE)</f>
        <v/>
      </c>
      <c r="R270">
        <f>VLOOKUP(D270,GL_Accounts!$A$2:$E$1048576,4,FALSE)</f>
        <v/>
      </c>
    </row>
    <row r="271">
      <c r="A271" t="inlineStr">
        <is>
          <t>INV200270</t>
        </is>
      </c>
      <c r="B271" t="n">
        <v>31</v>
      </c>
      <c r="C271" t="inlineStr">
        <is>
          <t>V0031</t>
        </is>
      </c>
      <c r="D271" t="n">
        <v>3</v>
      </c>
      <c r="E271" t="n">
        <v>60120</v>
      </c>
      <c r="F271" t="inlineStr">
        <is>
          <t>PO100212</t>
        </is>
      </c>
      <c r="G271" t="n">
        <v>20260624</v>
      </c>
      <c r="H271" t="inlineStr">
        <is>
          <t>2026-06-24</t>
        </is>
      </c>
      <c r="I271" t="n">
        <v>20260724</v>
      </c>
      <c r="J271" t="inlineStr">
        <is>
          <t>2026-07-24</t>
        </is>
      </c>
      <c r="K271" s="9" t="n">
        <v>7358.22</v>
      </c>
      <c r="L271" t="inlineStr">
        <is>
          <t>USD</t>
        </is>
      </c>
      <c r="M271" s="4" t="n">
        <v>7358.22</v>
      </c>
      <c r="N271" t="inlineStr">
        <is>
          <t>Unpaid</t>
        </is>
      </c>
      <c r="O271" t="inlineStr">
        <is>
          <t>False</t>
        </is>
      </c>
      <c r="P271" t="n">
        <v>30</v>
      </c>
      <c r="Q271">
        <f>VLOOKUP(D271,GL_Accounts!$A$2:$E$1048576,5,FALSE)</f>
        <v/>
      </c>
      <c r="R271">
        <f>VLOOKUP(D271,GL_Accounts!$A$2:$E$1048576,4,FALSE)</f>
        <v/>
      </c>
    </row>
    <row r="272">
      <c r="A272" t="inlineStr">
        <is>
          <t>INV200271</t>
        </is>
      </c>
      <c r="B272" t="n">
        <v>31</v>
      </c>
      <c r="C272" t="inlineStr">
        <is>
          <t>V0031</t>
        </is>
      </c>
      <c r="D272" t="n">
        <v>4</v>
      </c>
      <c r="E272" t="n">
        <v>60200</v>
      </c>
      <c r="F272" t="inlineStr">
        <is>
          <t>PO100212</t>
        </is>
      </c>
      <c r="G272" t="n">
        <v>20260630</v>
      </c>
      <c r="H272" t="inlineStr">
        <is>
          <t>2026-06-30</t>
        </is>
      </c>
      <c r="I272" t="n">
        <v>20260730</v>
      </c>
      <c r="J272" t="inlineStr">
        <is>
          <t>2026-07-30</t>
        </is>
      </c>
      <c r="K272" s="9" t="n">
        <v>4348.94</v>
      </c>
      <c r="L272" t="inlineStr">
        <is>
          <t>USD</t>
        </is>
      </c>
      <c r="M272" s="4" t="n">
        <v>4348.94</v>
      </c>
      <c r="N272" t="inlineStr">
        <is>
          <t>Unpaid</t>
        </is>
      </c>
      <c r="O272" t="inlineStr">
        <is>
          <t>False</t>
        </is>
      </c>
      <c r="P272" t="n">
        <v>30</v>
      </c>
      <c r="Q272">
        <f>VLOOKUP(D272,GL_Accounts!$A$2:$E$1048576,5,FALSE)</f>
        <v/>
      </c>
      <c r="R272">
        <f>VLOOKUP(D272,GL_Accounts!$A$2:$E$1048576,4,FALSE)</f>
        <v/>
      </c>
    </row>
    <row r="273">
      <c r="A273" t="inlineStr">
        <is>
          <t>INV200272</t>
        </is>
      </c>
      <c r="B273" t="n">
        <v>4</v>
      </c>
      <c r="C273" t="inlineStr">
        <is>
          <t>V0004</t>
        </is>
      </c>
      <c r="D273" t="n">
        <v>2</v>
      </c>
      <c r="E273" t="n">
        <v>60110</v>
      </c>
      <c r="F273" t="inlineStr">
        <is>
          <t>PO100213</t>
        </is>
      </c>
      <c r="G273" t="n">
        <v>20250427</v>
      </c>
      <c r="H273" t="inlineStr">
        <is>
          <t>2025-04-27</t>
        </is>
      </c>
      <c r="I273" t="n">
        <v>20250527</v>
      </c>
      <c r="J273" t="inlineStr">
        <is>
          <t>2025-05-27</t>
        </is>
      </c>
      <c r="K273" s="9" t="n">
        <v>19913.4</v>
      </c>
      <c r="L273" t="inlineStr">
        <is>
          <t>GBP</t>
        </is>
      </c>
      <c r="M273" s="4" t="n">
        <v>25290.02</v>
      </c>
      <c r="N273" t="inlineStr">
        <is>
          <t>Paid</t>
        </is>
      </c>
      <c r="O273" t="inlineStr">
        <is>
          <t>False</t>
        </is>
      </c>
      <c r="P273" t="n">
        <v>30</v>
      </c>
      <c r="Q273">
        <f>VLOOKUP(D273,GL_Accounts!$A$2:$E$1048576,5,FALSE)</f>
        <v/>
      </c>
      <c r="R273">
        <f>VLOOKUP(D273,GL_Accounts!$A$2:$E$1048576,4,FALSE)</f>
        <v/>
      </c>
    </row>
    <row r="274">
      <c r="A274" t="inlineStr">
        <is>
          <t>INV200273</t>
        </is>
      </c>
      <c r="B274" t="n">
        <v>42</v>
      </c>
      <c r="C274" t="inlineStr">
        <is>
          <t>V0042</t>
        </is>
      </c>
      <c r="D274" t="n">
        <v>17</v>
      </c>
      <c r="E274" t="n">
        <v>64100</v>
      </c>
      <c r="F274" t="inlineStr">
        <is>
          <t>PO100214</t>
        </is>
      </c>
      <c r="G274" t="n">
        <v>20241111</v>
      </c>
      <c r="H274" t="inlineStr">
        <is>
          <t>2024-11-11</t>
        </is>
      </c>
      <c r="I274" t="n">
        <v>20241226</v>
      </c>
      <c r="J274" t="inlineStr">
        <is>
          <t>2024-12-26</t>
        </is>
      </c>
      <c r="K274" s="9" t="n">
        <v>6959.56</v>
      </c>
      <c r="L274" t="inlineStr">
        <is>
          <t>USD</t>
        </is>
      </c>
      <c r="M274" s="4" t="n">
        <v>6959.56</v>
      </c>
      <c r="N274" t="inlineStr">
        <is>
          <t>Paid</t>
        </is>
      </c>
      <c r="O274" t="inlineStr">
        <is>
          <t>False</t>
        </is>
      </c>
      <c r="P274" t="n">
        <v>45</v>
      </c>
      <c r="Q274">
        <f>VLOOKUP(D274,GL_Accounts!$A$2:$E$1048576,5,FALSE)</f>
        <v/>
      </c>
      <c r="R274">
        <f>VLOOKUP(D274,GL_Accounts!$A$2:$E$1048576,4,FALSE)</f>
        <v/>
      </c>
    </row>
    <row r="275">
      <c r="A275" t="inlineStr">
        <is>
          <t>INV200274</t>
        </is>
      </c>
      <c r="B275" t="n">
        <v>38</v>
      </c>
      <c r="C275" t="inlineStr">
        <is>
          <t>V0038</t>
        </is>
      </c>
      <c r="D275" t="n">
        <v>7</v>
      </c>
      <c r="E275" t="n">
        <v>61200</v>
      </c>
      <c r="F275" t="inlineStr">
        <is>
          <t>PO100215</t>
        </is>
      </c>
      <c r="G275" t="n">
        <v>20241220</v>
      </c>
      <c r="H275" t="inlineStr">
        <is>
          <t>2024-12-20</t>
        </is>
      </c>
      <c r="I275" t="n">
        <v>20250203</v>
      </c>
      <c r="J275" t="inlineStr">
        <is>
          <t>2025-02-03</t>
        </is>
      </c>
      <c r="K275" s="9" t="n">
        <v>4056.36</v>
      </c>
      <c r="L275" t="inlineStr">
        <is>
          <t>USD</t>
        </is>
      </c>
      <c r="M275" s="4" t="n">
        <v>4056.36</v>
      </c>
      <c r="N275" t="inlineStr">
        <is>
          <t>Paid</t>
        </is>
      </c>
      <c r="O275" t="inlineStr">
        <is>
          <t>False</t>
        </is>
      </c>
      <c r="P275" t="n">
        <v>45</v>
      </c>
      <c r="Q275">
        <f>VLOOKUP(D275,GL_Accounts!$A$2:$E$1048576,5,FALSE)</f>
        <v/>
      </c>
      <c r="R275">
        <f>VLOOKUP(D275,GL_Accounts!$A$2:$E$1048576,4,FALSE)</f>
        <v/>
      </c>
    </row>
    <row r="276">
      <c r="A276" t="inlineStr">
        <is>
          <t>INV200275</t>
        </is>
      </c>
      <c r="B276" t="n">
        <v>38</v>
      </c>
      <c r="C276" t="inlineStr">
        <is>
          <t>V0038</t>
        </is>
      </c>
      <c r="D276" t="n">
        <v>7</v>
      </c>
      <c r="E276" t="n">
        <v>61200</v>
      </c>
      <c r="F276" t="inlineStr">
        <is>
          <t>PO100215</t>
        </is>
      </c>
      <c r="G276" t="n">
        <v>20250124</v>
      </c>
      <c r="H276" t="inlineStr">
        <is>
          <t>2025-01-24</t>
        </is>
      </c>
      <c r="I276" t="n">
        <v>20250310</v>
      </c>
      <c r="J276" t="inlineStr">
        <is>
          <t>2025-03-10</t>
        </is>
      </c>
      <c r="K276" s="9" t="n">
        <v>7300.65</v>
      </c>
      <c r="L276" t="inlineStr">
        <is>
          <t>USD</t>
        </is>
      </c>
      <c r="M276" s="4" t="n">
        <v>7300.65</v>
      </c>
      <c r="N276" t="inlineStr">
        <is>
          <t>Paid</t>
        </is>
      </c>
      <c r="O276" t="inlineStr">
        <is>
          <t>False</t>
        </is>
      </c>
      <c r="P276" t="n">
        <v>45</v>
      </c>
      <c r="Q276">
        <f>VLOOKUP(D276,GL_Accounts!$A$2:$E$1048576,5,FALSE)</f>
        <v/>
      </c>
      <c r="R276">
        <f>VLOOKUP(D276,GL_Accounts!$A$2:$E$1048576,4,FALSE)</f>
        <v/>
      </c>
    </row>
    <row r="277">
      <c r="A277" t="inlineStr">
        <is>
          <t>INV200276</t>
        </is>
      </c>
      <c r="B277" t="n">
        <v>38</v>
      </c>
      <c r="C277" t="inlineStr">
        <is>
          <t>V0038</t>
        </is>
      </c>
      <c r="D277" t="n">
        <v>6</v>
      </c>
      <c r="E277" t="n">
        <v>61100</v>
      </c>
      <c r="F277" t="inlineStr">
        <is>
          <t>PO100215</t>
        </is>
      </c>
      <c r="G277" t="n">
        <v>20250227</v>
      </c>
      <c r="H277" t="inlineStr">
        <is>
          <t>2025-02-27</t>
        </is>
      </c>
      <c r="I277" t="n">
        <v>20250413</v>
      </c>
      <c r="J277" t="inlineStr">
        <is>
          <t>2025-04-13</t>
        </is>
      </c>
      <c r="K277" s="9" t="n">
        <v>3793.03</v>
      </c>
      <c r="L277" t="inlineStr">
        <is>
          <t>USD</t>
        </is>
      </c>
      <c r="M277" s="4" t="n">
        <v>3793.03</v>
      </c>
      <c r="N277" t="inlineStr">
        <is>
          <t>Paid</t>
        </is>
      </c>
      <c r="O277" t="inlineStr">
        <is>
          <t>False</t>
        </is>
      </c>
      <c r="P277" t="n">
        <v>45</v>
      </c>
      <c r="Q277">
        <f>VLOOKUP(D277,GL_Accounts!$A$2:$E$1048576,5,FALSE)</f>
        <v/>
      </c>
      <c r="R277">
        <f>VLOOKUP(D277,GL_Accounts!$A$2:$E$1048576,4,FALSE)</f>
        <v/>
      </c>
    </row>
    <row r="278">
      <c r="A278" t="inlineStr">
        <is>
          <t>INV200277</t>
        </is>
      </c>
      <c r="B278" t="n">
        <v>42</v>
      </c>
      <c r="C278" t="inlineStr">
        <is>
          <t>V0042</t>
        </is>
      </c>
      <c r="D278" t="n">
        <v>19</v>
      </c>
      <c r="E278" t="n">
        <v>64300</v>
      </c>
      <c r="F278" t="inlineStr">
        <is>
          <t>PO100216</t>
        </is>
      </c>
      <c r="G278" t="n">
        <v>20260124</v>
      </c>
      <c r="H278" t="inlineStr">
        <is>
          <t>2026-01-24</t>
        </is>
      </c>
      <c r="I278" t="n">
        <v>20260310</v>
      </c>
      <c r="J278" t="inlineStr">
        <is>
          <t>2026-03-10</t>
        </is>
      </c>
      <c r="K278" s="9" t="n">
        <v>5508.8</v>
      </c>
      <c r="L278" t="inlineStr">
        <is>
          <t>USD</t>
        </is>
      </c>
      <c r="M278" s="4" t="n">
        <v>5508.8</v>
      </c>
      <c r="N278" t="inlineStr">
        <is>
          <t>Paid</t>
        </is>
      </c>
      <c r="O278" t="inlineStr">
        <is>
          <t>False</t>
        </is>
      </c>
      <c r="P278" t="n">
        <v>45</v>
      </c>
      <c r="Q278">
        <f>VLOOKUP(D278,GL_Accounts!$A$2:$E$1048576,5,FALSE)</f>
        <v/>
      </c>
      <c r="R278">
        <f>VLOOKUP(D278,GL_Accounts!$A$2:$E$1048576,4,FALSE)</f>
        <v/>
      </c>
    </row>
    <row r="279">
      <c r="A279" t="inlineStr">
        <is>
          <t>INV200278</t>
        </is>
      </c>
      <c r="B279" t="n">
        <v>42</v>
      </c>
      <c r="C279" t="inlineStr">
        <is>
          <t>V0042</t>
        </is>
      </c>
      <c r="D279" t="n">
        <v>19</v>
      </c>
      <c r="E279" t="n">
        <v>64300</v>
      </c>
      <c r="F279" t="inlineStr">
        <is>
          <t>PO100216</t>
        </is>
      </c>
      <c r="G279" t="n">
        <v>20260225</v>
      </c>
      <c r="H279" t="inlineStr">
        <is>
          <t>2026-02-25</t>
        </is>
      </c>
      <c r="I279" t="n">
        <v>20260411</v>
      </c>
      <c r="J279" t="inlineStr">
        <is>
          <t>2026-04-11</t>
        </is>
      </c>
      <c r="K279" s="9" t="n">
        <v>1458.13</v>
      </c>
      <c r="L279" t="inlineStr">
        <is>
          <t>USD</t>
        </is>
      </c>
      <c r="M279" s="4" t="n">
        <v>1458.13</v>
      </c>
      <c r="N279" t="inlineStr">
        <is>
          <t>Paid</t>
        </is>
      </c>
      <c r="O279" t="inlineStr">
        <is>
          <t>False</t>
        </is>
      </c>
      <c r="P279" t="n">
        <v>45</v>
      </c>
      <c r="Q279">
        <f>VLOOKUP(D279,GL_Accounts!$A$2:$E$1048576,5,FALSE)</f>
        <v/>
      </c>
      <c r="R279">
        <f>VLOOKUP(D279,GL_Accounts!$A$2:$E$1048576,4,FALSE)</f>
        <v/>
      </c>
    </row>
    <row r="280">
      <c r="A280" t="inlineStr">
        <is>
          <t>INV200279</t>
        </is>
      </c>
      <c r="B280" t="n">
        <v>17</v>
      </c>
      <c r="C280" t="inlineStr">
        <is>
          <t>V0017</t>
        </is>
      </c>
      <c r="D280" t="n">
        <v>6</v>
      </c>
      <c r="E280" t="n">
        <v>61100</v>
      </c>
      <c r="F280" t="inlineStr">
        <is>
          <t>PO100217</t>
        </is>
      </c>
      <c r="G280" t="n">
        <v>20251012</v>
      </c>
      <c r="H280" t="inlineStr">
        <is>
          <t>2025-10-12</t>
        </is>
      </c>
      <c r="I280" t="n">
        <v>20251126</v>
      </c>
      <c r="J280" t="inlineStr">
        <is>
          <t>2025-11-26</t>
        </is>
      </c>
      <c r="K280" s="9" t="n">
        <v>4914.11</v>
      </c>
      <c r="L280" t="inlineStr">
        <is>
          <t>USD</t>
        </is>
      </c>
      <c r="M280" s="4" t="n">
        <v>4914.11</v>
      </c>
      <c r="N280" t="inlineStr">
        <is>
          <t>Paid</t>
        </is>
      </c>
      <c r="O280" t="inlineStr">
        <is>
          <t>False</t>
        </is>
      </c>
      <c r="P280" t="n">
        <v>45</v>
      </c>
      <c r="Q280">
        <f>VLOOKUP(D280,GL_Accounts!$A$2:$E$1048576,5,FALSE)</f>
        <v/>
      </c>
      <c r="R280">
        <f>VLOOKUP(D280,GL_Accounts!$A$2:$E$1048576,4,FALSE)</f>
        <v/>
      </c>
    </row>
    <row r="281">
      <c r="A281" t="inlineStr">
        <is>
          <t>INV200280</t>
        </is>
      </c>
      <c r="B281" t="n">
        <v>17</v>
      </c>
      <c r="C281" t="inlineStr">
        <is>
          <t>V0017</t>
        </is>
      </c>
      <c r="D281" t="n">
        <v>8</v>
      </c>
      <c r="E281" t="n">
        <v>61300</v>
      </c>
      <c r="F281" t="inlineStr">
        <is>
          <t>PO100217</t>
        </is>
      </c>
      <c r="G281" t="n">
        <v>20251105</v>
      </c>
      <c r="H281" t="inlineStr">
        <is>
          <t>2025-11-05</t>
        </is>
      </c>
      <c r="I281" t="n">
        <v>20251220</v>
      </c>
      <c r="J281" t="inlineStr">
        <is>
          <t>2025-12-20</t>
        </is>
      </c>
      <c r="K281" s="9" t="n">
        <v>4353.82</v>
      </c>
      <c r="L281" t="inlineStr">
        <is>
          <t>USD</t>
        </is>
      </c>
      <c r="M281" s="4" t="n">
        <v>4353.82</v>
      </c>
      <c r="N281" t="inlineStr">
        <is>
          <t>Paid</t>
        </is>
      </c>
      <c r="O281" t="inlineStr">
        <is>
          <t>False</t>
        </is>
      </c>
      <c r="P281" t="n">
        <v>45</v>
      </c>
      <c r="Q281">
        <f>VLOOKUP(D281,GL_Accounts!$A$2:$E$1048576,5,FALSE)</f>
        <v/>
      </c>
      <c r="R281">
        <f>VLOOKUP(D281,GL_Accounts!$A$2:$E$1048576,4,FALSE)</f>
        <v/>
      </c>
    </row>
    <row r="282">
      <c r="A282" t="inlineStr">
        <is>
          <t>INV200281</t>
        </is>
      </c>
      <c r="B282" t="n">
        <v>23</v>
      </c>
      <c r="C282" t="inlineStr">
        <is>
          <t>V0023</t>
        </is>
      </c>
      <c r="D282" t="n">
        <v>1</v>
      </c>
      <c r="E282" t="n">
        <v>60100</v>
      </c>
      <c r="F282" t="inlineStr">
        <is>
          <t>PO100218</t>
        </is>
      </c>
      <c r="G282" t="n">
        <v>20241030</v>
      </c>
      <c r="H282" t="inlineStr">
        <is>
          <t>2024-10-30</t>
        </is>
      </c>
      <c r="I282" t="n">
        <v>20241214</v>
      </c>
      <c r="J282" t="inlineStr">
        <is>
          <t>2024-12-14</t>
        </is>
      </c>
      <c r="K282" s="9" t="n">
        <v>46343.34</v>
      </c>
      <c r="L282" t="inlineStr">
        <is>
          <t>USD</t>
        </is>
      </c>
      <c r="M282" s="4" t="n">
        <v>46343.34</v>
      </c>
      <c r="N282" t="inlineStr">
        <is>
          <t>Paid</t>
        </is>
      </c>
      <c r="O282" t="inlineStr">
        <is>
          <t>False</t>
        </is>
      </c>
      <c r="P282" t="n">
        <v>45</v>
      </c>
      <c r="Q282">
        <f>VLOOKUP(D282,GL_Accounts!$A$2:$E$1048576,5,FALSE)</f>
        <v/>
      </c>
      <c r="R282">
        <f>VLOOKUP(D282,GL_Accounts!$A$2:$E$1048576,4,FALSE)</f>
        <v/>
      </c>
    </row>
    <row r="283">
      <c r="A283" t="inlineStr">
        <is>
          <t>INV200282</t>
        </is>
      </c>
      <c r="B283" t="n">
        <v>27</v>
      </c>
      <c r="C283" t="inlineStr">
        <is>
          <t>V0027</t>
        </is>
      </c>
      <c r="D283" t="n">
        <v>6</v>
      </c>
      <c r="E283" t="n">
        <v>61100</v>
      </c>
      <c r="F283" t="inlineStr">
        <is>
          <t>PO100219</t>
        </is>
      </c>
      <c r="G283" t="n">
        <v>20250312</v>
      </c>
      <c r="H283" t="inlineStr">
        <is>
          <t>2025-03-12</t>
        </is>
      </c>
      <c r="I283" t="n">
        <v>20250411</v>
      </c>
      <c r="J283" t="inlineStr">
        <is>
          <t>2025-04-11</t>
        </is>
      </c>
      <c r="K283" s="9" t="n">
        <v>3406.23</v>
      </c>
      <c r="L283" t="inlineStr">
        <is>
          <t>USD</t>
        </is>
      </c>
      <c r="M283" s="4" t="n">
        <v>3406.23</v>
      </c>
      <c r="N283" t="inlineStr">
        <is>
          <t>Unpaid</t>
        </is>
      </c>
      <c r="O283" t="inlineStr">
        <is>
          <t>False</t>
        </is>
      </c>
      <c r="P283" t="n">
        <v>30</v>
      </c>
      <c r="Q283">
        <f>VLOOKUP(D283,GL_Accounts!$A$2:$E$1048576,5,FALSE)</f>
        <v/>
      </c>
      <c r="R283">
        <f>VLOOKUP(D283,GL_Accounts!$A$2:$E$1048576,4,FALSE)</f>
        <v/>
      </c>
    </row>
    <row r="284">
      <c r="A284" t="inlineStr">
        <is>
          <t>INV200283</t>
        </is>
      </c>
      <c r="B284" t="n">
        <v>4</v>
      </c>
      <c r="C284" t="inlineStr">
        <is>
          <t>V0004</t>
        </is>
      </c>
      <c r="D284" t="n">
        <v>2</v>
      </c>
      <c r="E284" t="n">
        <v>60110</v>
      </c>
      <c r="F284" t="inlineStr">
        <is>
          <t>PO100220</t>
        </is>
      </c>
      <c r="G284" t="n">
        <v>20250316</v>
      </c>
      <c r="H284" t="inlineStr">
        <is>
          <t>2025-03-16</t>
        </is>
      </c>
      <c r="I284" t="n">
        <v>20250415</v>
      </c>
      <c r="J284" t="inlineStr">
        <is>
          <t>2025-04-15</t>
        </is>
      </c>
      <c r="K284" s="9" t="n">
        <v>36895.22</v>
      </c>
      <c r="L284" t="inlineStr">
        <is>
          <t>GBP</t>
        </is>
      </c>
      <c r="M284" s="4" t="n">
        <v>46856.93</v>
      </c>
      <c r="N284" t="inlineStr">
        <is>
          <t>Paid</t>
        </is>
      </c>
      <c r="O284" t="inlineStr">
        <is>
          <t>False</t>
        </is>
      </c>
      <c r="P284" t="n">
        <v>30</v>
      </c>
      <c r="Q284">
        <f>VLOOKUP(D284,GL_Accounts!$A$2:$E$1048576,5,FALSE)</f>
        <v/>
      </c>
      <c r="R284">
        <f>VLOOKUP(D284,GL_Accounts!$A$2:$E$1048576,4,FALSE)</f>
        <v/>
      </c>
    </row>
    <row r="285">
      <c r="A285" t="inlineStr">
        <is>
          <t>INV200284</t>
        </is>
      </c>
      <c r="B285" t="n">
        <v>4</v>
      </c>
      <c r="C285" t="inlineStr">
        <is>
          <t>V0004</t>
        </is>
      </c>
      <c r="D285" t="n">
        <v>3</v>
      </c>
      <c r="E285" t="n">
        <v>60120</v>
      </c>
      <c r="F285" t="inlineStr">
        <is>
          <t>PO100221</t>
        </is>
      </c>
      <c r="G285" t="n">
        <v>20260301</v>
      </c>
      <c r="H285" t="inlineStr">
        <is>
          <t>2026-03-01</t>
        </is>
      </c>
      <c r="I285" t="n">
        <v>20260331</v>
      </c>
      <c r="J285" t="inlineStr">
        <is>
          <t>2026-03-31</t>
        </is>
      </c>
      <c r="K285" s="9" t="n">
        <v>13755.06</v>
      </c>
      <c r="L285" t="inlineStr">
        <is>
          <t>GBP</t>
        </is>
      </c>
      <c r="M285" s="4" t="n">
        <v>17468.93</v>
      </c>
      <c r="N285" t="inlineStr">
        <is>
          <t>Paid</t>
        </is>
      </c>
      <c r="O285" t="inlineStr">
        <is>
          <t>False</t>
        </is>
      </c>
      <c r="P285" t="n">
        <v>30</v>
      </c>
      <c r="Q285">
        <f>VLOOKUP(D285,GL_Accounts!$A$2:$E$1048576,5,FALSE)</f>
        <v/>
      </c>
      <c r="R285">
        <f>VLOOKUP(D285,GL_Accounts!$A$2:$E$1048576,4,FALSE)</f>
        <v/>
      </c>
    </row>
    <row r="286">
      <c r="A286" t="inlineStr">
        <is>
          <t>INV200285</t>
        </is>
      </c>
      <c r="B286" t="n">
        <v>4</v>
      </c>
      <c r="C286" t="inlineStr">
        <is>
          <t>V0004</t>
        </is>
      </c>
      <c r="D286" t="n">
        <v>4</v>
      </c>
      <c r="E286" t="n">
        <v>60200</v>
      </c>
      <c r="F286" t="inlineStr">
        <is>
          <t>PO100221</t>
        </is>
      </c>
      <c r="G286" t="n">
        <v>20260409</v>
      </c>
      <c r="H286" t="inlineStr">
        <is>
          <t>2026-04-09</t>
        </is>
      </c>
      <c r="I286" t="n">
        <v>20260509</v>
      </c>
      <c r="J286" t="inlineStr">
        <is>
          <t>2026-05-09</t>
        </is>
      </c>
      <c r="K286" s="9" t="n">
        <v>13863.18</v>
      </c>
      <c r="L286" t="inlineStr">
        <is>
          <t>GBP</t>
        </is>
      </c>
      <c r="M286" s="4" t="n">
        <v>17606.24</v>
      </c>
      <c r="N286" t="inlineStr">
        <is>
          <t>Paid</t>
        </is>
      </c>
      <c r="O286" t="inlineStr">
        <is>
          <t>False</t>
        </is>
      </c>
      <c r="P286" t="n">
        <v>30</v>
      </c>
      <c r="Q286">
        <f>VLOOKUP(D286,GL_Accounts!$A$2:$E$1048576,5,FALSE)</f>
        <v/>
      </c>
      <c r="R286">
        <f>VLOOKUP(D286,GL_Accounts!$A$2:$E$1048576,4,FALSE)</f>
        <v/>
      </c>
    </row>
    <row r="287">
      <c r="A287" t="inlineStr">
        <is>
          <t>INV200286</t>
        </is>
      </c>
      <c r="B287" t="n">
        <v>4</v>
      </c>
      <c r="C287" t="inlineStr">
        <is>
          <t>V0004</t>
        </is>
      </c>
      <c r="D287" t="n">
        <v>1</v>
      </c>
      <c r="E287" t="n">
        <v>60100</v>
      </c>
      <c r="F287" t="inlineStr">
        <is>
          <t>PO100221</t>
        </is>
      </c>
      <c r="G287" t="n">
        <v>20260515</v>
      </c>
      <c r="H287" t="inlineStr">
        <is>
          <t>2026-05-15</t>
        </is>
      </c>
      <c r="I287" t="n">
        <v>20260614</v>
      </c>
      <c r="J287" t="inlineStr">
        <is>
          <t>2026-06-14</t>
        </is>
      </c>
      <c r="K287" s="9" t="n">
        <v>10318.77</v>
      </c>
      <c r="L287" t="inlineStr">
        <is>
          <t>GBP</t>
        </is>
      </c>
      <c r="M287" s="4" t="n">
        <v>13104.84</v>
      </c>
      <c r="N287" t="inlineStr">
        <is>
          <t>Paid</t>
        </is>
      </c>
      <c r="O287" t="inlineStr">
        <is>
          <t>False</t>
        </is>
      </c>
      <c r="P287" t="n">
        <v>30</v>
      </c>
      <c r="Q287">
        <f>VLOOKUP(D287,GL_Accounts!$A$2:$E$1048576,5,FALSE)</f>
        <v/>
      </c>
      <c r="R287">
        <f>VLOOKUP(D287,GL_Accounts!$A$2:$E$1048576,4,FALSE)</f>
        <v/>
      </c>
    </row>
    <row r="288">
      <c r="A288" t="inlineStr">
        <is>
          <t>INV200287</t>
        </is>
      </c>
      <c r="B288" t="n">
        <v>37</v>
      </c>
      <c r="C288" t="inlineStr">
        <is>
          <t>V0037</t>
        </is>
      </c>
      <c r="D288" t="n">
        <v>10</v>
      </c>
      <c r="E288" t="n">
        <v>62100</v>
      </c>
      <c r="F288" t="inlineStr">
        <is>
          <t>PO100222</t>
        </is>
      </c>
      <c r="G288" t="n">
        <v>20251004</v>
      </c>
      <c r="H288" t="inlineStr">
        <is>
          <t>2025-10-04</t>
        </is>
      </c>
      <c r="I288" t="n">
        <v>20251203</v>
      </c>
      <c r="J288" t="inlineStr">
        <is>
          <t>2025-12-03</t>
        </is>
      </c>
      <c r="K288" s="9" t="n">
        <v>1826.77</v>
      </c>
      <c r="L288" t="inlineStr">
        <is>
          <t>USD</t>
        </is>
      </c>
      <c r="M288" s="4" t="n">
        <v>1826.77</v>
      </c>
      <c r="N288" t="inlineStr">
        <is>
          <t>Paid</t>
        </is>
      </c>
      <c r="O288" t="inlineStr">
        <is>
          <t>False</t>
        </is>
      </c>
      <c r="P288" t="n">
        <v>60</v>
      </c>
      <c r="Q288">
        <f>VLOOKUP(D288,GL_Accounts!$A$2:$E$1048576,5,FALSE)</f>
        <v/>
      </c>
      <c r="R288">
        <f>VLOOKUP(D288,GL_Accounts!$A$2:$E$1048576,4,FALSE)</f>
        <v/>
      </c>
    </row>
    <row r="289">
      <c r="A289" t="inlineStr">
        <is>
          <t>INV200288</t>
        </is>
      </c>
      <c r="B289" t="n">
        <v>60</v>
      </c>
      <c r="C289" t="inlineStr">
        <is>
          <t>V0001</t>
        </is>
      </c>
      <c r="D289" t="n">
        <v>1</v>
      </c>
      <c r="E289" t="n">
        <v>60100</v>
      </c>
      <c r="F289" t="inlineStr">
        <is>
          <t>PO100224</t>
        </is>
      </c>
      <c r="G289" t="n">
        <v>20250916</v>
      </c>
      <c r="H289" t="inlineStr">
        <is>
          <t>2025-09-16</t>
        </is>
      </c>
      <c r="I289" t="n">
        <v>20251031</v>
      </c>
      <c r="J289" t="inlineStr">
        <is>
          <t>2025-10-31</t>
        </is>
      </c>
      <c r="K289" s="9" t="n">
        <v>8694.209999999999</v>
      </c>
      <c r="L289" t="inlineStr">
        <is>
          <t>USD</t>
        </is>
      </c>
      <c r="M289" s="4" t="n">
        <v>8694.209999999999</v>
      </c>
      <c r="N289" t="inlineStr">
        <is>
          <t>Paid</t>
        </is>
      </c>
      <c r="O289" t="inlineStr">
        <is>
          <t>False</t>
        </is>
      </c>
      <c r="P289" t="n">
        <v>45</v>
      </c>
      <c r="Q289">
        <f>VLOOKUP(D289,GL_Accounts!$A$2:$E$1048576,5,FALSE)</f>
        <v/>
      </c>
      <c r="R289">
        <f>VLOOKUP(D289,GL_Accounts!$A$2:$E$1048576,4,FALSE)</f>
        <v/>
      </c>
    </row>
    <row r="290">
      <c r="A290" t="inlineStr">
        <is>
          <t>INV200289</t>
        </is>
      </c>
      <c r="B290" t="n">
        <v>60</v>
      </c>
      <c r="C290" t="inlineStr">
        <is>
          <t>V0001</t>
        </is>
      </c>
      <c r="D290" t="n">
        <v>2</v>
      </c>
      <c r="E290" t="n">
        <v>60110</v>
      </c>
      <c r="F290" t="inlineStr">
        <is>
          <t>PO100224</t>
        </is>
      </c>
      <c r="G290" t="n">
        <v>20250928</v>
      </c>
      <c r="H290" t="inlineStr">
        <is>
          <t>2025-09-28</t>
        </is>
      </c>
      <c r="I290" t="n">
        <v>20251112</v>
      </c>
      <c r="J290" t="inlineStr">
        <is>
          <t>2025-11-12</t>
        </is>
      </c>
      <c r="K290" s="9" t="n">
        <v>10837.06</v>
      </c>
      <c r="L290" t="inlineStr">
        <is>
          <t>USD</t>
        </is>
      </c>
      <c r="M290" s="4" t="n">
        <v>10837.06</v>
      </c>
      <c r="N290" t="inlineStr">
        <is>
          <t>Paid</t>
        </is>
      </c>
      <c r="O290" t="inlineStr">
        <is>
          <t>False</t>
        </is>
      </c>
      <c r="P290" t="n">
        <v>45</v>
      </c>
      <c r="Q290">
        <f>VLOOKUP(D290,GL_Accounts!$A$2:$E$1048576,5,FALSE)</f>
        <v/>
      </c>
      <c r="R290">
        <f>VLOOKUP(D290,GL_Accounts!$A$2:$E$1048576,4,FALSE)</f>
        <v/>
      </c>
    </row>
    <row r="291">
      <c r="A291" t="inlineStr">
        <is>
          <t>INV200290</t>
        </is>
      </c>
      <c r="B291" t="n">
        <v>48</v>
      </c>
      <c r="C291" t="inlineStr">
        <is>
          <t>V0048</t>
        </is>
      </c>
      <c r="D291" t="n">
        <v>4</v>
      </c>
      <c r="E291" t="n">
        <v>60200</v>
      </c>
      <c r="F291" t="inlineStr">
        <is>
          <t>PO100225</t>
        </is>
      </c>
      <c r="G291" t="n">
        <v>20250512</v>
      </c>
      <c r="H291" t="inlineStr">
        <is>
          <t>2025-05-12</t>
        </is>
      </c>
      <c r="I291" t="n">
        <v>20250626</v>
      </c>
      <c r="J291" t="inlineStr">
        <is>
          <t>2025-06-26</t>
        </is>
      </c>
      <c r="K291" s="9" t="n">
        <v>3873.59</v>
      </c>
      <c r="L291" t="inlineStr">
        <is>
          <t>USD</t>
        </is>
      </c>
      <c r="M291" s="4" t="n">
        <v>3873.59</v>
      </c>
      <c r="N291" t="inlineStr">
        <is>
          <t>Paid</t>
        </is>
      </c>
      <c r="O291" t="inlineStr">
        <is>
          <t>False</t>
        </is>
      </c>
      <c r="P291" t="n">
        <v>45</v>
      </c>
      <c r="Q291">
        <f>VLOOKUP(D291,GL_Accounts!$A$2:$E$1048576,5,FALSE)</f>
        <v/>
      </c>
      <c r="R291">
        <f>VLOOKUP(D291,GL_Accounts!$A$2:$E$1048576,4,FALSE)</f>
        <v/>
      </c>
    </row>
    <row r="292">
      <c r="A292" t="inlineStr">
        <is>
          <t>INV200291</t>
        </is>
      </c>
      <c r="B292" t="n">
        <v>48</v>
      </c>
      <c r="C292" t="inlineStr">
        <is>
          <t>V0048</t>
        </is>
      </c>
      <c r="D292" t="n">
        <v>2</v>
      </c>
      <c r="E292" t="n">
        <v>60110</v>
      </c>
      <c r="F292" t="inlineStr">
        <is>
          <t>PO100225</t>
        </is>
      </c>
      <c r="G292" t="n">
        <v>20250623</v>
      </c>
      <c r="H292" t="inlineStr">
        <is>
          <t>2025-06-23</t>
        </is>
      </c>
      <c r="I292" t="n">
        <v>20250807</v>
      </c>
      <c r="J292" t="inlineStr">
        <is>
          <t>2025-08-07</t>
        </is>
      </c>
      <c r="K292" s="9" t="n">
        <v>1765.4</v>
      </c>
      <c r="L292" t="inlineStr">
        <is>
          <t>USD</t>
        </is>
      </c>
      <c r="M292" s="4" t="n">
        <v>1765.4</v>
      </c>
      <c r="N292" t="inlineStr">
        <is>
          <t>Paid</t>
        </is>
      </c>
      <c r="O292" t="inlineStr">
        <is>
          <t>False</t>
        </is>
      </c>
      <c r="P292" t="n">
        <v>45</v>
      </c>
      <c r="Q292">
        <f>VLOOKUP(D292,GL_Accounts!$A$2:$E$1048576,5,FALSE)</f>
        <v/>
      </c>
      <c r="R292">
        <f>VLOOKUP(D292,GL_Accounts!$A$2:$E$1048576,4,FALSE)</f>
        <v/>
      </c>
    </row>
    <row r="293">
      <c r="A293" t="inlineStr">
        <is>
          <t>INV200292</t>
        </is>
      </c>
      <c r="B293" t="n">
        <v>30</v>
      </c>
      <c r="C293" t="inlineStr">
        <is>
          <t>V0030</t>
        </is>
      </c>
      <c r="D293" t="n">
        <v>8</v>
      </c>
      <c r="E293" t="n">
        <v>61300</v>
      </c>
      <c r="F293" t="inlineStr">
        <is>
          <t>PO100226</t>
        </is>
      </c>
      <c r="G293" t="n">
        <v>20241011</v>
      </c>
      <c r="H293" t="inlineStr">
        <is>
          <t>2024-10-11</t>
        </is>
      </c>
      <c r="I293" t="n">
        <v>20241110</v>
      </c>
      <c r="J293" t="inlineStr">
        <is>
          <t>2024-11-10</t>
        </is>
      </c>
      <c r="K293" s="9" t="n">
        <v>1296.5</v>
      </c>
      <c r="L293" t="inlineStr">
        <is>
          <t>USD</t>
        </is>
      </c>
      <c r="M293" s="4" t="n">
        <v>1296.5</v>
      </c>
      <c r="N293" t="inlineStr">
        <is>
          <t>Paid</t>
        </is>
      </c>
      <c r="O293" t="inlineStr">
        <is>
          <t>False</t>
        </is>
      </c>
      <c r="P293" t="n">
        <v>30</v>
      </c>
      <c r="Q293">
        <f>VLOOKUP(D293,GL_Accounts!$A$2:$E$1048576,5,FALSE)</f>
        <v/>
      </c>
      <c r="R293">
        <f>VLOOKUP(D293,GL_Accounts!$A$2:$E$1048576,4,FALSE)</f>
        <v/>
      </c>
    </row>
    <row r="294">
      <c r="A294" t="inlineStr">
        <is>
          <t>INV200293</t>
        </is>
      </c>
      <c r="B294" t="n">
        <v>30</v>
      </c>
      <c r="C294" t="inlineStr">
        <is>
          <t>V0030</t>
        </is>
      </c>
      <c r="D294" t="n">
        <v>8</v>
      </c>
      <c r="E294" t="n">
        <v>61300</v>
      </c>
      <c r="F294" t="inlineStr">
        <is>
          <t>PO100226</t>
        </is>
      </c>
      <c r="G294" t="n">
        <v>20241012</v>
      </c>
      <c r="H294" t="inlineStr">
        <is>
          <t>2024-10-12</t>
        </is>
      </c>
      <c r="I294" t="n">
        <v>20241111</v>
      </c>
      <c r="J294" t="inlineStr">
        <is>
          <t>2024-11-11</t>
        </is>
      </c>
      <c r="K294" s="9" t="n">
        <v>4251.38</v>
      </c>
      <c r="L294" t="inlineStr">
        <is>
          <t>USD</t>
        </is>
      </c>
      <c r="M294" s="4" t="n">
        <v>4251.38</v>
      </c>
      <c r="N294" t="inlineStr">
        <is>
          <t>Paid</t>
        </is>
      </c>
      <c r="O294" t="inlineStr">
        <is>
          <t>False</t>
        </is>
      </c>
      <c r="P294" t="n">
        <v>30</v>
      </c>
      <c r="Q294">
        <f>VLOOKUP(D294,GL_Accounts!$A$2:$E$1048576,5,FALSE)</f>
        <v/>
      </c>
      <c r="R294">
        <f>VLOOKUP(D294,GL_Accounts!$A$2:$E$1048576,4,FALSE)</f>
        <v/>
      </c>
    </row>
    <row r="295">
      <c r="A295" t="inlineStr">
        <is>
          <t>INV200294</t>
        </is>
      </c>
      <c r="B295" t="n">
        <v>32</v>
      </c>
      <c r="C295" t="inlineStr">
        <is>
          <t>V0032</t>
        </is>
      </c>
      <c r="D295" t="n">
        <v>8</v>
      </c>
      <c r="E295" t="n">
        <v>61300</v>
      </c>
      <c r="F295" t="inlineStr">
        <is>
          <t>PO100227</t>
        </is>
      </c>
      <c r="G295" t="n">
        <v>20260626</v>
      </c>
      <c r="H295" t="inlineStr">
        <is>
          <t>2026-06-26</t>
        </is>
      </c>
      <c r="I295" t="n">
        <v>20260810</v>
      </c>
      <c r="J295" t="inlineStr">
        <is>
          <t>2026-08-10</t>
        </is>
      </c>
      <c r="K295" s="9" t="n">
        <v>4457.83</v>
      </c>
      <c r="L295" t="inlineStr">
        <is>
          <t>USD</t>
        </is>
      </c>
      <c r="M295" s="4" t="n">
        <v>4457.83</v>
      </c>
      <c r="N295" t="inlineStr">
        <is>
          <t>Unpaid</t>
        </is>
      </c>
      <c r="O295" t="inlineStr">
        <is>
          <t>False</t>
        </is>
      </c>
      <c r="P295" t="n">
        <v>45</v>
      </c>
      <c r="Q295">
        <f>VLOOKUP(D295,GL_Accounts!$A$2:$E$1048576,5,FALSE)</f>
        <v/>
      </c>
      <c r="R295">
        <f>VLOOKUP(D295,GL_Accounts!$A$2:$E$1048576,4,FALSE)</f>
        <v/>
      </c>
    </row>
    <row r="296">
      <c r="A296" t="inlineStr">
        <is>
          <t>INV200295</t>
        </is>
      </c>
      <c r="B296" t="n">
        <v>41</v>
      </c>
      <c r="C296" t="inlineStr">
        <is>
          <t>V0041</t>
        </is>
      </c>
      <c r="D296" t="n">
        <v>1</v>
      </c>
      <c r="E296" t="n">
        <v>60100</v>
      </c>
      <c r="F296" t="inlineStr">
        <is>
          <t>PO100228</t>
        </is>
      </c>
      <c r="G296" t="n">
        <v>20241229</v>
      </c>
      <c r="H296" t="inlineStr">
        <is>
          <t>2024-12-29</t>
        </is>
      </c>
      <c r="I296" t="n">
        <v>20250128</v>
      </c>
      <c r="J296" t="inlineStr">
        <is>
          <t>2025-01-28</t>
        </is>
      </c>
      <c r="K296" s="9" t="n">
        <v>33804.52</v>
      </c>
      <c r="L296" t="inlineStr">
        <is>
          <t>USD</t>
        </is>
      </c>
      <c r="M296" s="4" t="n">
        <v>33804.52</v>
      </c>
      <c r="N296" t="inlineStr">
        <is>
          <t>Paid</t>
        </is>
      </c>
      <c r="O296" t="inlineStr">
        <is>
          <t>False</t>
        </is>
      </c>
      <c r="P296" t="n">
        <v>30</v>
      </c>
      <c r="Q296">
        <f>VLOOKUP(D296,GL_Accounts!$A$2:$E$1048576,5,FALSE)</f>
        <v/>
      </c>
      <c r="R296">
        <f>VLOOKUP(D296,GL_Accounts!$A$2:$E$1048576,4,FALSE)</f>
        <v/>
      </c>
    </row>
    <row r="297">
      <c r="A297" t="inlineStr">
        <is>
          <t>INV200296</t>
        </is>
      </c>
      <c r="B297" t="n">
        <v>41</v>
      </c>
      <c r="C297" t="inlineStr">
        <is>
          <t>V0041</t>
        </is>
      </c>
      <c r="D297" t="n">
        <v>3</v>
      </c>
      <c r="E297" t="n">
        <v>60120</v>
      </c>
      <c r="F297" t="inlineStr">
        <is>
          <t>PO100228</t>
        </is>
      </c>
      <c r="G297" t="n">
        <v>20250208</v>
      </c>
      <c r="H297" t="inlineStr">
        <is>
          <t>2025-02-08</t>
        </is>
      </c>
      <c r="I297" t="n">
        <v>20250310</v>
      </c>
      <c r="J297" t="inlineStr">
        <is>
          <t>2025-03-10</t>
        </is>
      </c>
      <c r="K297" s="9" t="n">
        <v>22107.81</v>
      </c>
      <c r="L297" t="inlineStr">
        <is>
          <t>USD</t>
        </is>
      </c>
      <c r="M297" s="4" t="n">
        <v>22107.81</v>
      </c>
      <c r="N297" t="inlineStr">
        <is>
          <t>Unpaid</t>
        </is>
      </c>
      <c r="O297" t="inlineStr">
        <is>
          <t>False</t>
        </is>
      </c>
      <c r="P297" t="n">
        <v>30</v>
      </c>
      <c r="Q297">
        <f>VLOOKUP(D297,GL_Accounts!$A$2:$E$1048576,5,FALSE)</f>
        <v/>
      </c>
      <c r="R297">
        <f>VLOOKUP(D297,GL_Accounts!$A$2:$E$1048576,4,FALSE)</f>
        <v/>
      </c>
    </row>
    <row r="298">
      <c r="A298" t="inlineStr">
        <is>
          <t>INV200297</t>
        </is>
      </c>
      <c r="B298" t="n">
        <v>25</v>
      </c>
      <c r="C298" t="inlineStr">
        <is>
          <t>V0025</t>
        </is>
      </c>
      <c r="D298" t="n">
        <v>7</v>
      </c>
      <c r="E298" t="n">
        <v>61200</v>
      </c>
      <c r="F298" t="inlineStr">
        <is>
          <t>PO100229</t>
        </is>
      </c>
      <c r="G298" t="n">
        <v>20241112</v>
      </c>
      <c r="H298" t="inlineStr">
        <is>
          <t>2024-11-12</t>
        </is>
      </c>
      <c r="I298" t="n">
        <v>20241212</v>
      </c>
      <c r="J298" t="inlineStr">
        <is>
          <t>2024-12-12</t>
        </is>
      </c>
      <c r="K298" s="9" t="n">
        <v>5467.52</v>
      </c>
      <c r="L298" t="inlineStr">
        <is>
          <t>GBP</t>
        </is>
      </c>
      <c r="M298" s="4" t="n">
        <v>6943.75</v>
      </c>
      <c r="N298" t="inlineStr">
        <is>
          <t>Paid</t>
        </is>
      </c>
      <c r="O298" t="inlineStr">
        <is>
          <t>False</t>
        </is>
      </c>
      <c r="P298" t="n">
        <v>30</v>
      </c>
      <c r="Q298">
        <f>VLOOKUP(D298,GL_Accounts!$A$2:$E$1048576,5,FALSE)</f>
        <v/>
      </c>
      <c r="R298">
        <f>VLOOKUP(D298,GL_Accounts!$A$2:$E$1048576,4,FALSE)</f>
        <v/>
      </c>
    </row>
    <row r="299">
      <c r="A299" t="inlineStr">
        <is>
          <t>INV200298</t>
        </is>
      </c>
      <c r="B299" t="n">
        <v>25</v>
      </c>
      <c r="C299" t="inlineStr">
        <is>
          <t>V0025</t>
        </is>
      </c>
      <c r="D299" t="n">
        <v>6</v>
      </c>
      <c r="E299" t="n">
        <v>61100</v>
      </c>
      <c r="F299" t="inlineStr">
        <is>
          <t>PO100229</t>
        </is>
      </c>
      <c r="G299" t="n">
        <v>20241209</v>
      </c>
      <c r="H299" t="inlineStr">
        <is>
          <t>2024-12-09</t>
        </is>
      </c>
      <c r="I299" t="n">
        <v>20250108</v>
      </c>
      <c r="J299" t="inlineStr">
        <is>
          <t>2025-01-08</t>
        </is>
      </c>
      <c r="K299" s="9" t="n">
        <v>2541.56</v>
      </c>
      <c r="L299" t="inlineStr">
        <is>
          <t>GBP</t>
        </is>
      </c>
      <c r="M299" s="4" t="n">
        <v>3227.78</v>
      </c>
      <c r="N299" t="inlineStr">
        <is>
          <t>Paid</t>
        </is>
      </c>
      <c r="O299" t="inlineStr">
        <is>
          <t>False</t>
        </is>
      </c>
      <c r="P299" t="n">
        <v>30</v>
      </c>
      <c r="Q299">
        <f>VLOOKUP(D299,GL_Accounts!$A$2:$E$1048576,5,FALSE)</f>
        <v/>
      </c>
      <c r="R299">
        <f>VLOOKUP(D299,GL_Accounts!$A$2:$E$1048576,4,FALSE)</f>
        <v/>
      </c>
    </row>
    <row r="300">
      <c r="A300" t="inlineStr">
        <is>
          <t>INV200299</t>
        </is>
      </c>
      <c r="B300" t="n">
        <v>39</v>
      </c>
      <c r="C300" t="inlineStr">
        <is>
          <t>V0039</t>
        </is>
      </c>
      <c r="D300" t="n">
        <v>19</v>
      </c>
      <c r="E300" t="n">
        <v>64300</v>
      </c>
      <c r="F300" t="inlineStr">
        <is>
          <t>PO100230</t>
        </is>
      </c>
      <c r="G300" t="n">
        <v>20250310</v>
      </c>
      <c r="H300" t="inlineStr">
        <is>
          <t>2025-03-10</t>
        </is>
      </c>
      <c r="I300" t="n">
        <v>20250509</v>
      </c>
      <c r="J300" t="inlineStr">
        <is>
          <t>2025-05-09</t>
        </is>
      </c>
      <c r="K300" s="9" t="n">
        <v>3787.77</v>
      </c>
      <c r="L300" t="inlineStr">
        <is>
          <t>CAD</t>
        </is>
      </c>
      <c r="M300" s="4" t="n">
        <v>2802.95</v>
      </c>
      <c r="N300" t="inlineStr">
        <is>
          <t>Paid</t>
        </is>
      </c>
      <c r="O300" t="inlineStr">
        <is>
          <t>False</t>
        </is>
      </c>
      <c r="P300" t="n">
        <v>60</v>
      </c>
      <c r="Q300">
        <f>VLOOKUP(D300,GL_Accounts!$A$2:$E$1048576,5,FALSE)</f>
        <v/>
      </c>
      <c r="R300">
        <f>VLOOKUP(D300,GL_Accounts!$A$2:$E$1048576,4,FALSE)</f>
        <v/>
      </c>
    </row>
    <row r="301">
      <c r="A301" t="inlineStr">
        <is>
          <t>INV200300</t>
        </is>
      </c>
      <c r="B301" t="n">
        <v>39</v>
      </c>
      <c r="C301" t="inlineStr">
        <is>
          <t>V0039</t>
        </is>
      </c>
      <c r="D301" t="n">
        <v>19</v>
      </c>
      <c r="E301" t="n">
        <v>64300</v>
      </c>
      <c r="F301" t="inlineStr">
        <is>
          <t>PO100230</t>
        </is>
      </c>
      <c r="G301" t="n">
        <v>20250404</v>
      </c>
      <c r="H301" t="inlineStr">
        <is>
          <t>2025-04-04</t>
        </is>
      </c>
      <c r="I301" t="n">
        <v>20250603</v>
      </c>
      <c r="J301" t="inlineStr">
        <is>
          <t>2025-06-03</t>
        </is>
      </c>
      <c r="K301" s="9" t="n">
        <v>2398.61</v>
      </c>
      <c r="L301" t="inlineStr">
        <is>
          <t>CAD</t>
        </is>
      </c>
      <c r="M301" s="4" t="n">
        <v>1774.97</v>
      </c>
      <c r="N301" t="inlineStr">
        <is>
          <t>Paid</t>
        </is>
      </c>
      <c r="O301" t="inlineStr">
        <is>
          <t>False</t>
        </is>
      </c>
      <c r="P301" t="n">
        <v>60</v>
      </c>
      <c r="Q301">
        <f>VLOOKUP(D301,GL_Accounts!$A$2:$E$1048576,5,FALSE)</f>
        <v/>
      </c>
      <c r="R301">
        <f>VLOOKUP(D301,GL_Accounts!$A$2:$E$1048576,4,FALSE)</f>
        <v/>
      </c>
    </row>
    <row r="302">
      <c r="A302" t="inlineStr">
        <is>
          <t>INV200301</t>
        </is>
      </c>
      <c r="B302" t="n">
        <v>4</v>
      </c>
      <c r="C302" t="inlineStr">
        <is>
          <t>V0004</t>
        </is>
      </c>
      <c r="D302" t="n">
        <v>2</v>
      </c>
      <c r="E302" t="n">
        <v>60110</v>
      </c>
      <c r="F302" t="inlineStr">
        <is>
          <t>PO100231</t>
        </is>
      </c>
      <c r="G302" t="n">
        <v>20250729</v>
      </c>
      <c r="H302" t="inlineStr">
        <is>
          <t>2025-07-29</t>
        </is>
      </c>
      <c r="I302" t="n">
        <v>20250828</v>
      </c>
      <c r="J302" t="inlineStr">
        <is>
          <t>2025-08-28</t>
        </is>
      </c>
      <c r="K302" s="9" t="n">
        <v>11701.58</v>
      </c>
      <c r="L302" t="inlineStr">
        <is>
          <t>GBP</t>
        </is>
      </c>
      <c r="M302" s="4" t="n">
        <v>14861.01</v>
      </c>
      <c r="N302" t="inlineStr">
        <is>
          <t>Paid</t>
        </is>
      </c>
      <c r="O302" t="inlineStr">
        <is>
          <t>False</t>
        </is>
      </c>
      <c r="P302" t="n">
        <v>30</v>
      </c>
      <c r="Q302">
        <f>VLOOKUP(D302,GL_Accounts!$A$2:$E$1048576,5,FALSE)</f>
        <v/>
      </c>
      <c r="R302">
        <f>VLOOKUP(D302,GL_Accounts!$A$2:$E$1048576,4,FALSE)</f>
        <v/>
      </c>
    </row>
    <row r="303">
      <c r="A303" t="inlineStr">
        <is>
          <t>INV200302</t>
        </is>
      </c>
      <c r="B303" t="n">
        <v>13</v>
      </c>
      <c r="C303" t="inlineStr">
        <is>
          <t>V0013</t>
        </is>
      </c>
      <c r="D303" t="n">
        <v>4</v>
      </c>
      <c r="E303" t="n">
        <v>60200</v>
      </c>
      <c r="F303" t="inlineStr">
        <is>
          <t>PO100232</t>
        </is>
      </c>
      <c r="G303" t="n">
        <v>20250515</v>
      </c>
      <c r="H303" t="inlineStr">
        <is>
          <t>2025-05-15</t>
        </is>
      </c>
      <c r="I303" t="n">
        <v>20250614</v>
      </c>
      <c r="J303" t="inlineStr">
        <is>
          <t>2025-06-14</t>
        </is>
      </c>
      <c r="K303" s="9" t="n">
        <v>11555.14</v>
      </c>
      <c r="L303" t="inlineStr">
        <is>
          <t>USD</t>
        </is>
      </c>
      <c r="M303" s="4" t="n">
        <v>11555.14</v>
      </c>
      <c r="N303" t="inlineStr">
        <is>
          <t>Paid</t>
        </is>
      </c>
      <c r="O303" t="inlineStr">
        <is>
          <t>False</t>
        </is>
      </c>
      <c r="P303" t="n">
        <v>30</v>
      </c>
      <c r="Q303">
        <f>VLOOKUP(D303,GL_Accounts!$A$2:$E$1048576,5,FALSE)</f>
        <v/>
      </c>
      <c r="R303">
        <f>VLOOKUP(D303,GL_Accounts!$A$2:$E$1048576,4,FALSE)</f>
        <v/>
      </c>
    </row>
    <row r="304">
      <c r="A304" t="inlineStr">
        <is>
          <t>INV200303</t>
        </is>
      </c>
      <c r="B304" t="n">
        <v>13</v>
      </c>
      <c r="C304" t="inlineStr">
        <is>
          <t>V0013</t>
        </is>
      </c>
      <c r="D304" t="n">
        <v>3</v>
      </c>
      <c r="E304" t="n">
        <v>60120</v>
      </c>
      <c r="F304" t="inlineStr">
        <is>
          <t>PO100232</t>
        </is>
      </c>
      <c r="G304" t="n">
        <v>20250607</v>
      </c>
      <c r="H304" t="inlineStr">
        <is>
          <t>2025-06-07</t>
        </is>
      </c>
      <c r="I304" t="n">
        <v>20250707</v>
      </c>
      <c r="J304" t="inlineStr">
        <is>
          <t>2025-07-07</t>
        </is>
      </c>
      <c r="K304" s="9" t="n">
        <v>19768.56</v>
      </c>
      <c r="L304" t="inlineStr">
        <is>
          <t>USD</t>
        </is>
      </c>
      <c r="M304" s="4" t="n">
        <v>19768.56</v>
      </c>
      <c r="N304" t="inlineStr">
        <is>
          <t>Paid</t>
        </is>
      </c>
      <c r="O304" t="inlineStr">
        <is>
          <t>False</t>
        </is>
      </c>
      <c r="P304" t="n">
        <v>30</v>
      </c>
      <c r="Q304">
        <f>VLOOKUP(D304,GL_Accounts!$A$2:$E$1048576,5,FALSE)</f>
        <v/>
      </c>
      <c r="R304">
        <f>VLOOKUP(D304,GL_Accounts!$A$2:$E$1048576,4,FALSE)</f>
        <v/>
      </c>
    </row>
    <row r="305">
      <c r="A305" t="inlineStr">
        <is>
          <t>INV200304</t>
        </is>
      </c>
      <c r="B305" t="n">
        <v>13</v>
      </c>
      <c r="C305" t="inlineStr">
        <is>
          <t>V0013</t>
        </is>
      </c>
      <c r="D305" t="n">
        <v>3</v>
      </c>
      <c r="E305" t="n">
        <v>60120</v>
      </c>
      <c r="F305" t="inlineStr">
        <is>
          <t>PO100232</t>
        </is>
      </c>
      <c r="G305" t="n">
        <v>20250705</v>
      </c>
      <c r="H305" t="inlineStr">
        <is>
          <t>2025-07-05</t>
        </is>
      </c>
      <c r="I305" t="n">
        <v>20250804</v>
      </c>
      <c r="J305" t="inlineStr">
        <is>
          <t>2025-08-04</t>
        </is>
      </c>
      <c r="K305" s="9" t="n">
        <v>23247.71</v>
      </c>
      <c r="L305" t="inlineStr">
        <is>
          <t>USD</t>
        </is>
      </c>
      <c r="M305" s="4" t="n">
        <v>23247.71</v>
      </c>
      <c r="N305" t="inlineStr">
        <is>
          <t>Paid</t>
        </is>
      </c>
      <c r="O305" t="inlineStr">
        <is>
          <t>False</t>
        </is>
      </c>
      <c r="P305" t="n">
        <v>30</v>
      </c>
      <c r="Q305">
        <f>VLOOKUP(D305,GL_Accounts!$A$2:$E$1048576,5,FALSE)</f>
        <v/>
      </c>
      <c r="R305">
        <f>VLOOKUP(D305,GL_Accounts!$A$2:$E$1048576,4,FALSE)</f>
        <v/>
      </c>
    </row>
    <row r="306">
      <c r="A306" t="inlineStr">
        <is>
          <t>INV200305</t>
        </is>
      </c>
      <c r="B306" t="n">
        <v>20</v>
      </c>
      <c r="C306" t="inlineStr">
        <is>
          <t>V0020</t>
        </is>
      </c>
      <c r="D306" t="n">
        <v>7</v>
      </c>
      <c r="E306" t="n">
        <v>61200</v>
      </c>
      <c r="F306" t="inlineStr">
        <is>
          <t>PO100233</t>
        </is>
      </c>
      <c r="G306" t="n">
        <v>20250524</v>
      </c>
      <c r="H306" t="inlineStr">
        <is>
          <t>2025-05-24</t>
        </is>
      </c>
      <c r="I306" t="n">
        <v>20250608</v>
      </c>
      <c r="J306" t="inlineStr">
        <is>
          <t>2025-06-08</t>
        </is>
      </c>
      <c r="K306" s="9" t="n">
        <v>6175.49</v>
      </c>
      <c r="L306" t="inlineStr">
        <is>
          <t>USD</t>
        </is>
      </c>
      <c r="M306" s="4" t="n">
        <v>6175.49</v>
      </c>
      <c r="N306" t="inlineStr">
        <is>
          <t>Paid</t>
        </is>
      </c>
      <c r="O306" t="inlineStr">
        <is>
          <t>False</t>
        </is>
      </c>
      <c r="P306" t="n">
        <v>15</v>
      </c>
      <c r="Q306">
        <f>VLOOKUP(D306,GL_Accounts!$A$2:$E$1048576,5,FALSE)</f>
        <v/>
      </c>
      <c r="R306">
        <f>VLOOKUP(D306,GL_Accounts!$A$2:$E$1048576,4,FALSE)</f>
        <v/>
      </c>
    </row>
    <row r="307">
      <c r="A307" t="inlineStr">
        <is>
          <t>INV200306</t>
        </is>
      </c>
      <c r="B307" t="n">
        <v>18</v>
      </c>
      <c r="C307" t="inlineStr">
        <is>
          <t>V0018</t>
        </is>
      </c>
      <c r="D307" t="n">
        <v>10</v>
      </c>
      <c r="E307" t="n">
        <v>62100</v>
      </c>
      <c r="F307" t="inlineStr">
        <is>
          <t>PO100236</t>
        </is>
      </c>
      <c r="G307" t="n">
        <v>20250615</v>
      </c>
      <c r="H307" t="inlineStr">
        <is>
          <t>2025-06-15</t>
        </is>
      </c>
      <c r="I307" t="n">
        <v>20250715</v>
      </c>
      <c r="J307" t="inlineStr">
        <is>
          <t>2025-07-15</t>
        </is>
      </c>
      <c r="K307" s="9" t="n">
        <v>953.34</v>
      </c>
      <c r="L307" t="inlineStr">
        <is>
          <t>USD</t>
        </is>
      </c>
      <c r="M307" s="4" t="n">
        <v>953.34</v>
      </c>
      <c r="N307" t="inlineStr">
        <is>
          <t>Paid</t>
        </is>
      </c>
      <c r="O307" t="inlineStr">
        <is>
          <t>False</t>
        </is>
      </c>
      <c r="P307" t="n">
        <v>30</v>
      </c>
      <c r="Q307">
        <f>VLOOKUP(D307,GL_Accounts!$A$2:$E$1048576,5,FALSE)</f>
        <v/>
      </c>
      <c r="R307">
        <f>VLOOKUP(D307,GL_Accounts!$A$2:$E$1048576,4,FALSE)</f>
        <v/>
      </c>
    </row>
    <row r="308">
      <c r="A308" t="inlineStr">
        <is>
          <t>INV200307</t>
        </is>
      </c>
      <c r="B308" t="n">
        <v>18</v>
      </c>
      <c r="C308" t="inlineStr">
        <is>
          <t>V0018</t>
        </is>
      </c>
      <c r="D308" t="n">
        <v>12</v>
      </c>
      <c r="E308" t="n">
        <v>62300</v>
      </c>
      <c r="F308" t="inlineStr">
        <is>
          <t>PO100236</t>
        </is>
      </c>
      <c r="G308" t="n">
        <v>20250622</v>
      </c>
      <c r="H308" t="inlineStr">
        <is>
          <t>2025-06-22</t>
        </is>
      </c>
      <c r="I308" t="n">
        <v>20250722</v>
      </c>
      <c r="J308" t="inlineStr">
        <is>
          <t>2025-07-22</t>
        </is>
      </c>
      <c r="K308" s="9" t="n">
        <v>346.74</v>
      </c>
      <c r="L308" t="inlineStr">
        <is>
          <t>USD</t>
        </is>
      </c>
      <c r="M308" s="4" t="n">
        <v>346.74</v>
      </c>
      <c r="N308" t="inlineStr">
        <is>
          <t>Paid</t>
        </is>
      </c>
      <c r="O308" t="inlineStr">
        <is>
          <t>False</t>
        </is>
      </c>
      <c r="P308" t="n">
        <v>30</v>
      </c>
      <c r="Q308">
        <f>VLOOKUP(D308,GL_Accounts!$A$2:$E$1048576,5,FALSE)</f>
        <v/>
      </c>
      <c r="R308">
        <f>VLOOKUP(D308,GL_Accounts!$A$2:$E$1048576,4,FALSE)</f>
        <v/>
      </c>
    </row>
    <row r="309">
      <c r="A309" t="inlineStr">
        <is>
          <t>INV200308</t>
        </is>
      </c>
      <c r="B309" t="n">
        <v>34</v>
      </c>
      <c r="C309" t="inlineStr">
        <is>
          <t>V0034</t>
        </is>
      </c>
      <c r="D309" t="n">
        <v>20</v>
      </c>
      <c r="E309" t="n">
        <v>65100</v>
      </c>
      <c r="F309" t="inlineStr">
        <is>
          <t>PO100237</t>
        </is>
      </c>
      <c r="G309" t="n">
        <v>20260102</v>
      </c>
      <c r="H309" t="inlineStr">
        <is>
          <t>2026-01-02</t>
        </is>
      </c>
      <c r="I309" t="n">
        <v>20260117</v>
      </c>
      <c r="J309" t="inlineStr">
        <is>
          <t>2026-01-17</t>
        </is>
      </c>
      <c r="K309" s="9" t="n">
        <v>2287.79</v>
      </c>
      <c r="L309" t="inlineStr">
        <is>
          <t>EUR</t>
        </is>
      </c>
      <c r="M309" s="4" t="n">
        <v>2470.81</v>
      </c>
      <c r="N309" t="inlineStr">
        <is>
          <t>Paid</t>
        </is>
      </c>
      <c r="O309" t="inlineStr">
        <is>
          <t>False</t>
        </is>
      </c>
      <c r="P309" t="n">
        <v>15</v>
      </c>
      <c r="Q309">
        <f>VLOOKUP(D309,GL_Accounts!$A$2:$E$1048576,5,FALSE)</f>
        <v/>
      </c>
      <c r="R309">
        <f>VLOOKUP(D309,GL_Accounts!$A$2:$E$1048576,4,FALSE)</f>
        <v/>
      </c>
    </row>
    <row r="310">
      <c r="A310" t="inlineStr">
        <is>
          <t>INV200309</t>
        </is>
      </c>
      <c r="B310" t="n">
        <v>49</v>
      </c>
      <c r="C310" t="inlineStr">
        <is>
          <t>V0049</t>
        </is>
      </c>
      <c r="D310" t="n">
        <v>7</v>
      </c>
      <c r="E310" t="n">
        <v>61200</v>
      </c>
      <c r="F310" t="inlineStr">
        <is>
          <t>PO100238</t>
        </is>
      </c>
      <c r="G310" t="n">
        <v>20260325</v>
      </c>
      <c r="H310" t="inlineStr">
        <is>
          <t>2026-03-25</t>
        </is>
      </c>
      <c r="I310" t="n">
        <v>20260424</v>
      </c>
      <c r="J310" t="inlineStr">
        <is>
          <t>2026-04-24</t>
        </is>
      </c>
      <c r="K310" s="9" t="n">
        <v>9411.690000000001</v>
      </c>
      <c r="L310" t="inlineStr">
        <is>
          <t>USD</t>
        </is>
      </c>
      <c r="M310" s="4" t="n">
        <v>9411.690000000001</v>
      </c>
      <c r="N310" t="inlineStr">
        <is>
          <t>Paid</t>
        </is>
      </c>
      <c r="O310" t="inlineStr">
        <is>
          <t>False</t>
        </is>
      </c>
      <c r="P310" t="n">
        <v>30</v>
      </c>
      <c r="Q310">
        <f>VLOOKUP(D310,GL_Accounts!$A$2:$E$1048576,5,FALSE)</f>
        <v/>
      </c>
      <c r="R310">
        <f>VLOOKUP(D310,GL_Accounts!$A$2:$E$1048576,4,FALSE)</f>
        <v/>
      </c>
    </row>
    <row r="311">
      <c r="A311" t="inlineStr">
        <is>
          <t>INV200310</t>
        </is>
      </c>
      <c r="B311" t="n">
        <v>50</v>
      </c>
      <c r="C311" t="inlineStr">
        <is>
          <t>V0050</t>
        </is>
      </c>
      <c r="D311" t="n">
        <v>4</v>
      </c>
      <c r="E311" t="n">
        <v>60200</v>
      </c>
      <c r="F311" t="inlineStr">
        <is>
          <t>PO100239</t>
        </is>
      </c>
      <c r="G311" t="n">
        <v>20260415</v>
      </c>
      <c r="H311" t="inlineStr">
        <is>
          <t>2026-04-15</t>
        </is>
      </c>
      <c r="I311" t="n">
        <v>20260515</v>
      </c>
      <c r="J311" t="inlineStr">
        <is>
          <t>2026-05-15</t>
        </is>
      </c>
      <c r="K311" s="9" t="n">
        <v>3739.86</v>
      </c>
      <c r="L311" t="inlineStr">
        <is>
          <t>USD</t>
        </is>
      </c>
      <c r="M311" s="4" t="n">
        <v>3739.86</v>
      </c>
      <c r="N311" t="inlineStr">
        <is>
          <t>Paid</t>
        </is>
      </c>
      <c r="O311" t="inlineStr">
        <is>
          <t>False</t>
        </is>
      </c>
      <c r="P311" t="n">
        <v>30</v>
      </c>
      <c r="Q311">
        <f>VLOOKUP(D311,GL_Accounts!$A$2:$E$1048576,5,FALSE)</f>
        <v/>
      </c>
      <c r="R311">
        <f>VLOOKUP(D311,GL_Accounts!$A$2:$E$1048576,4,FALSE)</f>
        <v/>
      </c>
    </row>
    <row r="312">
      <c r="A312" t="inlineStr">
        <is>
          <t>INV200311</t>
        </is>
      </c>
      <c r="B312" t="n">
        <v>50</v>
      </c>
      <c r="C312" t="inlineStr">
        <is>
          <t>V0050</t>
        </is>
      </c>
      <c r="D312" t="n">
        <v>1</v>
      </c>
      <c r="E312" t="n">
        <v>60100</v>
      </c>
      <c r="F312" t="inlineStr">
        <is>
          <t>PO100239</t>
        </is>
      </c>
      <c r="G312" t="n">
        <v>20260531</v>
      </c>
      <c r="H312" t="inlineStr">
        <is>
          <t>2026-05-31</t>
        </is>
      </c>
      <c r="I312" t="n">
        <v>20260630</v>
      </c>
      <c r="J312" t="inlineStr">
        <is>
          <t>2026-06-30</t>
        </is>
      </c>
      <c r="K312" s="9" t="n">
        <v>6240.44</v>
      </c>
      <c r="L312" t="inlineStr">
        <is>
          <t>USD</t>
        </is>
      </c>
      <c r="M312" s="4" t="n">
        <v>6240.44</v>
      </c>
      <c r="N312" t="inlineStr">
        <is>
          <t>Unpaid</t>
        </is>
      </c>
      <c r="O312" t="inlineStr">
        <is>
          <t>False</t>
        </is>
      </c>
      <c r="P312" t="n">
        <v>30</v>
      </c>
      <c r="Q312">
        <f>VLOOKUP(D312,GL_Accounts!$A$2:$E$1048576,5,FALSE)</f>
        <v/>
      </c>
      <c r="R312">
        <f>VLOOKUP(D312,GL_Accounts!$A$2:$E$1048576,4,FALSE)</f>
        <v/>
      </c>
    </row>
    <row r="313">
      <c r="A313" t="inlineStr">
        <is>
          <t>INV200312</t>
        </is>
      </c>
      <c r="B313" t="n">
        <v>33</v>
      </c>
      <c r="C313" t="inlineStr">
        <is>
          <t>V0033</t>
        </is>
      </c>
      <c r="D313" t="n">
        <v>14</v>
      </c>
      <c r="E313" t="n">
        <v>63100</v>
      </c>
      <c r="F313" t="inlineStr">
        <is>
          <t>PO100240</t>
        </is>
      </c>
      <c r="G313" t="n">
        <v>20260127</v>
      </c>
      <c r="H313" t="inlineStr">
        <is>
          <t>2026-01-27</t>
        </is>
      </c>
      <c r="I313" t="n">
        <v>20260328</v>
      </c>
      <c r="J313" t="inlineStr">
        <is>
          <t>2026-03-28</t>
        </is>
      </c>
      <c r="K313" s="9" t="n">
        <v>1836.34</v>
      </c>
      <c r="L313" t="inlineStr">
        <is>
          <t>USD</t>
        </is>
      </c>
      <c r="M313" s="4" t="n">
        <v>1836.34</v>
      </c>
      <c r="N313" t="inlineStr">
        <is>
          <t>Paid</t>
        </is>
      </c>
      <c r="O313" t="inlineStr">
        <is>
          <t>False</t>
        </is>
      </c>
      <c r="P313" t="n">
        <v>60</v>
      </c>
      <c r="Q313">
        <f>VLOOKUP(D313,GL_Accounts!$A$2:$E$1048576,5,FALSE)</f>
        <v/>
      </c>
      <c r="R313">
        <f>VLOOKUP(D313,GL_Accounts!$A$2:$E$1048576,4,FALSE)</f>
        <v/>
      </c>
    </row>
    <row r="314">
      <c r="A314" t="inlineStr">
        <is>
          <t>INV200313</t>
        </is>
      </c>
      <c r="B314" t="n">
        <v>33</v>
      </c>
      <c r="C314" t="inlineStr">
        <is>
          <t>V0033</t>
        </is>
      </c>
      <c r="D314" t="n">
        <v>20</v>
      </c>
      <c r="E314" t="n">
        <v>65100</v>
      </c>
      <c r="F314" t="inlineStr">
        <is>
          <t>PO100241</t>
        </is>
      </c>
      <c r="G314" t="n">
        <v>20260412</v>
      </c>
      <c r="H314" t="inlineStr">
        <is>
          <t>2026-04-12</t>
        </is>
      </c>
      <c r="I314" t="n">
        <v>20260611</v>
      </c>
      <c r="J314" t="inlineStr">
        <is>
          <t>2026-06-11</t>
        </is>
      </c>
      <c r="K314" s="9" t="n">
        <v>145.43</v>
      </c>
      <c r="L314" t="inlineStr">
        <is>
          <t>USD</t>
        </is>
      </c>
      <c r="M314" s="4" t="n">
        <v>145.43</v>
      </c>
      <c r="N314" t="inlineStr">
        <is>
          <t>Paid</t>
        </is>
      </c>
      <c r="O314" t="inlineStr">
        <is>
          <t>False</t>
        </is>
      </c>
      <c r="P314" t="n">
        <v>60</v>
      </c>
      <c r="Q314">
        <f>VLOOKUP(D314,GL_Accounts!$A$2:$E$1048576,5,FALSE)</f>
        <v/>
      </c>
      <c r="R314">
        <f>VLOOKUP(D314,GL_Accounts!$A$2:$E$1048576,4,FALSE)</f>
        <v/>
      </c>
    </row>
    <row r="315">
      <c r="A315" t="inlineStr">
        <is>
          <t>INV200314</t>
        </is>
      </c>
      <c r="B315" t="n">
        <v>33</v>
      </c>
      <c r="C315" t="inlineStr">
        <is>
          <t>V0033</t>
        </is>
      </c>
      <c r="D315" t="n">
        <v>14</v>
      </c>
      <c r="E315" t="n">
        <v>63100</v>
      </c>
      <c r="F315" t="inlineStr">
        <is>
          <t>PO100241</t>
        </is>
      </c>
      <c r="G315" t="n">
        <v>20260517</v>
      </c>
      <c r="H315" t="inlineStr">
        <is>
          <t>2026-05-17</t>
        </is>
      </c>
      <c r="I315" t="n">
        <v>20260716</v>
      </c>
      <c r="J315" t="inlineStr">
        <is>
          <t>2026-07-16</t>
        </is>
      </c>
      <c r="K315" s="9" t="n">
        <v>70.81</v>
      </c>
      <c r="L315" t="inlineStr">
        <is>
          <t>USD</t>
        </is>
      </c>
      <c r="M315" s="4" t="n">
        <v>70.81</v>
      </c>
      <c r="N315" t="inlineStr">
        <is>
          <t>Unpaid</t>
        </is>
      </c>
      <c r="O315" t="inlineStr">
        <is>
          <t>False</t>
        </is>
      </c>
      <c r="P315" t="n">
        <v>60</v>
      </c>
      <c r="Q315">
        <f>VLOOKUP(D315,GL_Accounts!$A$2:$E$1048576,5,FALSE)</f>
        <v/>
      </c>
      <c r="R315">
        <f>VLOOKUP(D315,GL_Accounts!$A$2:$E$1048576,4,FALSE)</f>
        <v/>
      </c>
    </row>
    <row r="316">
      <c r="A316" t="inlineStr">
        <is>
          <t>INV200315</t>
        </is>
      </c>
      <c r="B316" t="n">
        <v>38</v>
      </c>
      <c r="C316" t="inlineStr">
        <is>
          <t>V0038</t>
        </is>
      </c>
      <c r="D316" t="n">
        <v>7</v>
      </c>
      <c r="E316" t="n">
        <v>61200</v>
      </c>
      <c r="F316" t="inlineStr">
        <is>
          <t>PO100242</t>
        </is>
      </c>
      <c r="G316" t="n">
        <v>20250817</v>
      </c>
      <c r="H316" t="inlineStr">
        <is>
          <t>2025-08-17</t>
        </is>
      </c>
      <c r="I316" t="n">
        <v>20251001</v>
      </c>
      <c r="J316" t="inlineStr">
        <is>
          <t>2025-10-01</t>
        </is>
      </c>
      <c r="K316" s="9" t="n">
        <v>2001.14</v>
      </c>
      <c r="L316" t="inlineStr">
        <is>
          <t>USD</t>
        </is>
      </c>
      <c r="M316" s="4" t="n">
        <v>2001.14</v>
      </c>
      <c r="N316" t="inlineStr">
        <is>
          <t>Paid</t>
        </is>
      </c>
      <c r="O316" t="inlineStr">
        <is>
          <t>False</t>
        </is>
      </c>
      <c r="P316" t="n">
        <v>45</v>
      </c>
      <c r="Q316">
        <f>VLOOKUP(D316,GL_Accounts!$A$2:$E$1048576,5,FALSE)</f>
        <v/>
      </c>
      <c r="R316">
        <f>VLOOKUP(D316,GL_Accounts!$A$2:$E$1048576,4,FALSE)</f>
        <v/>
      </c>
    </row>
    <row r="317">
      <c r="A317" t="inlineStr">
        <is>
          <t>INV200316</t>
        </is>
      </c>
      <c r="B317" t="n">
        <v>38</v>
      </c>
      <c r="C317" t="inlineStr">
        <is>
          <t>V0038</t>
        </is>
      </c>
      <c r="D317" t="n">
        <v>9</v>
      </c>
      <c r="E317" t="n">
        <v>61400</v>
      </c>
      <c r="F317" t="inlineStr">
        <is>
          <t>PO100242</t>
        </is>
      </c>
      <c r="G317" t="n">
        <v>20250919</v>
      </c>
      <c r="H317" t="inlineStr">
        <is>
          <t>2025-09-19</t>
        </is>
      </c>
      <c r="I317" t="n">
        <v>20251103</v>
      </c>
      <c r="J317" t="inlineStr">
        <is>
          <t>2025-11-03</t>
        </is>
      </c>
      <c r="K317" s="9" t="n">
        <v>1249.76</v>
      </c>
      <c r="L317" t="inlineStr">
        <is>
          <t>USD</t>
        </is>
      </c>
      <c r="M317" s="4" t="n">
        <v>1249.76</v>
      </c>
      <c r="N317" t="inlineStr">
        <is>
          <t>Paid</t>
        </is>
      </c>
      <c r="O317" t="inlineStr">
        <is>
          <t>False</t>
        </is>
      </c>
      <c r="P317" t="n">
        <v>45</v>
      </c>
      <c r="Q317">
        <f>VLOOKUP(D317,GL_Accounts!$A$2:$E$1048576,5,FALSE)</f>
        <v/>
      </c>
      <c r="R317">
        <f>VLOOKUP(D317,GL_Accounts!$A$2:$E$1048576,4,FALSE)</f>
        <v/>
      </c>
    </row>
    <row r="318">
      <c r="A318" t="inlineStr">
        <is>
          <t>INV200317</t>
        </is>
      </c>
      <c r="B318" t="n">
        <v>40</v>
      </c>
      <c r="C318" t="inlineStr">
        <is>
          <t>V0040</t>
        </is>
      </c>
      <c r="D318" t="n">
        <v>11</v>
      </c>
      <c r="E318" t="n">
        <v>62200</v>
      </c>
      <c r="F318" t="inlineStr">
        <is>
          <t>PO100243</t>
        </is>
      </c>
      <c r="G318" t="n">
        <v>20260711</v>
      </c>
      <c r="H318" t="inlineStr">
        <is>
          <t>2026-07-11</t>
        </is>
      </c>
      <c r="I318" t="n">
        <v>20260810</v>
      </c>
      <c r="J318" t="inlineStr">
        <is>
          <t>2026-08-10</t>
        </is>
      </c>
      <c r="K318" s="9" t="n">
        <v>575.63</v>
      </c>
      <c r="L318" t="inlineStr">
        <is>
          <t>USD</t>
        </is>
      </c>
      <c r="M318" s="4" t="n">
        <v>575.63</v>
      </c>
      <c r="N318" t="inlineStr">
        <is>
          <t>Paid</t>
        </is>
      </c>
      <c r="O318" t="inlineStr">
        <is>
          <t>False</t>
        </is>
      </c>
      <c r="P318" t="n">
        <v>30</v>
      </c>
      <c r="Q318">
        <f>VLOOKUP(D318,GL_Accounts!$A$2:$E$1048576,5,FALSE)</f>
        <v/>
      </c>
      <c r="R318">
        <f>VLOOKUP(D318,GL_Accounts!$A$2:$E$1048576,4,FALSE)</f>
        <v/>
      </c>
    </row>
    <row r="319">
      <c r="A319" t="inlineStr">
        <is>
          <t>INV200318</t>
        </is>
      </c>
      <c r="B319" t="n">
        <v>40</v>
      </c>
      <c r="C319" t="inlineStr">
        <is>
          <t>V0040</t>
        </is>
      </c>
      <c r="D319" t="n">
        <v>12</v>
      </c>
      <c r="E319" t="n">
        <v>62300</v>
      </c>
      <c r="F319" t="inlineStr">
        <is>
          <t>PO100243</t>
        </is>
      </c>
      <c r="G319" t="n">
        <v>20260727</v>
      </c>
      <c r="H319" t="inlineStr">
        <is>
          <t>2026-07-27</t>
        </is>
      </c>
      <c r="I319" t="n">
        <v>20260826</v>
      </c>
      <c r="J319" t="inlineStr">
        <is>
          <t>2026-08-26</t>
        </is>
      </c>
      <c r="K319" s="9" t="n">
        <v>1833.57</v>
      </c>
      <c r="L319" t="inlineStr">
        <is>
          <t>USD</t>
        </is>
      </c>
      <c r="M319" s="4" t="n">
        <v>1833.57</v>
      </c>
      <c r="N319" t="inlineStr">
        <is>
          <t>Unpaid</t>
        </is>
      </c>
      <c r="O319" t="inlineStr">
        <is>
          <t>False</t>
        </is>
      </c>
      <c r="P319" t="n">
        <v>30</v>
      </c>
      <c r="Q319">
        <f>VLOOKUP(D319,GL_Accounts!$A$2:$E$1048576,5,FALSE)</f>
        <v/>
      </c>
      <c r="R319">
        <f>VLOOKUP(D319,GL_Accounts!$A$2:$E$1048576,4,FALSE)</f>
        <v/>
      </c>
    </row>
    <row r="320">
      <c r="A320" t="inlineStr">
        <is>
          <t>INV200319</t>
        </is>
      </c>
      <c r="B320" t="n">
        <v>31</v>
      </c>
      <c r="C320" t="inlineStr">
        <is>
          <t>V0031</t>
        </is>
      </c>
      <c r="D320" t="n">
        <v>4</v>
      </c>
      <c r="E320" t="n">
        <v>60200</v>
      </c>
      <c r="F320" t="inlineStr">
        <is>
          <t>PO100244</t>
        </is>
      </c>
      <c r="G320" t="n">
        <v>20250725</v>
      </c>
      <c r="H320" t="inlineStr">
        <is>
          <t>2025-07-25</t>
        </is>
      </c>
      <c r="I320" t="n">
        <v>20250824</v>
      </c>
      <c r="J320" t="inlineStr">
        <is>
          <t>2025-08-24</t>
        </is>
      </c>
      <c r="K320" s="9" t="n">
        <v>7465.58</v>
      </c>
      <c r="L320" t="inlineStr">
        <is>
          <t>USD</t>
        </is>
      </c>
      <c r="M320" s="4" t="n">
        <v>7465.58</v>
      </c>
      <c r="N320" t="inlineStr">
        <is>
          <t>Unpaid</t>
        </is>
      </c>
      <c r="O320" t="inlineStr">
        <is>
          <t>False</t>
        </is>
      </c>
      <c r="P320" t="n">
        <v>30</v>
      </c>
      <c r="Q320">
        <f>VLOOKUP(D320,GL_Accounts!$A$2:$E$1048576,5,FALSE)</f>
        <v/>
      </c>
      <c r="R320">
        <f>VLOOKUP(D320,GL_Accounts!$A$2:$E$1048576,4,FALSE)</f>
        <v/>
      </c>
    </row>
    <row r="321">
      <c r="A321" t="inlineStr">
        <is>
          <t>INV200320</t>
        </is>
      </c>
      <c r="B321" t="n">
        <v>22</v>
      </c>
      <c r="C321" t="inlineStr">
        <is>
          <t>V0022</t>
        </is>
      </c>
      <c r="D321" t="n">
        <v>7</v>
      </c>
      <c r="E321" t="n">
        <v>61200</v>
      </c>
      <c r="F321" t="inlineStr">
        <is>
          <t>PO100245</t>
        </is>
      </c>
      <c r="G321" t="n">
        <v>20241130</v>
      </c>
      <c r="H321" t="inlineStr">
        <is>
          <t>2024-11-30</t>
        </is>
      </c>
      <c r="I321" t="n">
        <v>20241230</v>
      </c>
      <c r="J321" t="inlineStr">
        <is>
          <t>2024-12-30</t>
        </is>
      </c>
      <c r="K321" s="9" t="n">
        <v>5231.35</v>
      </c>
      <c r="L321" t="inlineStr">
        <is>
          <t>USD</t>
        </is>
      </c>
      <c r="M321" s="4" t="n">
        <v>5231.35</v>
      </c>
      <c r="N321" t="inlineStr">
        <is>
          <t>Paid</t>
        </is>
      </c>
      <c r="O321" t="inlineStr">
        <is>
          <t>False</t>
        </is>
      </c>
      <c r="P321" t="n">
        <v>30</v>
      </c>
      <c r="Q321">
        <f>VLOOKUP(D321,GL_Accounts!$A$2:$E$1048576,5,FALSE)</f>
        <v/>
      </c>
      <c r="R321">
        <f>VLOOKUP(D321,GL_Accounts!$A$2:$E$1048576,4,FALSE)</f>
        <v/>
      </c>
    </row>
    <row r="322">
      <c r="A322" t="inlineStr">
        <is>
          <t>INV200321</t>
        </is>
      </c>
      <c r="B322" t="n">
        <v>18</v>
      </c>
      <c r="C322" t="inlineStr">
        <is>
          <t>V0018</t>
        </is>
      </c>
      <c r="D322" t="n">
        <v>12</v>
      </c>
      <c r="E322" t="n">
        <v>62300</v>
      </c>
      <c r="F322" t="inlineStr">
        <is>
          <t>PO100246</t>
        </is>
      </c>
      <c r="G322" t="n">
        <v>20241130</v>
      </c>
      <c r="H322" t="inlineStr">
        <is>
          <t>2024-11-30</t>
        </is>
      </c>
      <c r="I322" t="n">
        <v>20241230</v>
      </c>
      <c r="J322" t="inlineStr">
        <is>
          <t>2024-12-30</t>
        </is>
      </c>
      <c r="K322" s="9" t="n">
        <v>814.29</v>
      </c>
      <c r="L322" t="inlineStr">
        <is>
          <t>USD</t>
        </is>
      </c>
      <c r="M322" s="4" t="n">
        <v>814.29</v>
      </c>
      <c r="N322" t="inlineStr">
        <is>
          <t>Paid</t>
        </is>
      </c>
      <c r="O322" t="inlineStr">
        <is>
          <t>False</t>
        </is>
      </c>
      <c r="P322" t="n">
        <v>30</v>
      </c>
      <c r="Q322">
        <f>VLOOKUP(D322,GL_Accounts!$A$2:$E$1048576,5,FALSE)</f>
        <v/>
      </c>
      <c r="R322">
        <f>VLOOKUP(D322,GL_Accounts!$A$2:$E$1048576,4,FALSE)</f>
        <v/>
      </c>
    </row>
    <row r="323">
      <c r="A323" t="inlineStr">
        <is>
          <t>INV200322</t>
        </is>
      </c>
      <c r="B323" t="n">
        <v>50</v>
      </c>
      <c r="C323" t="inlineStr">
        <is>
          <t>V0050</t>
        </is>
      </c>
      <c r="D323" t="n">
        <v>4</v>
      </c>
      <c r="E323" t="n">
        <v>60200</v>
      </c>
      <c r="F323" t="inlineStr">
        <is>
          <t>PO100247</t>
        </is>
      </c>
      <c r="G323" t="n">
        <v>20260103</v>
      </c>
      <c r="H323" t="inlineStr">
        <is>
          <t>2026-01-03</t>
        </is>
      </c>
      <c r="I323" t="n">
        <v>20260202</v>
      </c>
      <c r="J323" t="inlineStr">
        <is>
          <t>2026-02-02</t>
        </is>
      </c>
      <c r="K323" s="9" t="n">
        <v>68842.95</v>
      </c>
      <c r="L323" t="inlineStr">
        <is>
          <t>USD</t>
        </is>
      </c>
      <c r="M323" s="4" t="n">
        <v>68842.95</v>
      </c>
      <c r="N323" t="inlineStr">
        <is>
          <t>Paid</t>
        </is>
      </c>
      <c r="O323" t="inlineStr">
        <is>
          <t>False</t>
        </is>
      </c>
      <c r="P323" t="n">
        <v>30</v>
      </c>
      <c r="Q323">
        <f>VLOOKUP(D323,GL_Accounts!$A$2:$E$1048576,5,FALSE)</f>
        <v/>
      </c>
      <c r="R323">
        <f>VLOOKUP(D323,GL_Accounts!$A$2:$E$1048576,4,FALSE)</f>
        <v/>
      </c>
    </row>
    <row r="324">
      <c r="A324" t="inlineStr">
        <is>
          <t>INV200323</t>
        </is>
      </c>
      <c r="B324" t="n">
        <v>42</v>
      </c>
      <c r="C324" t="inlineStr">
        <is>
          <t>V0042</t>
        </is>
      </c>
      <c r="D324" t="n">
        <v>16</v>
      </c>
      <c r="E324" t="n">
        <v>63300</v>
      </c>
      <c r="F324" t="inlineStr">
        <is>
          <t>PO100248</t>
        </is>
      </c>
      <c r="G324" t="n">
        <v>20250916</v>
      </c>
      <c r="H324" t="inlineStr">
        <is>
          <t>2025-09-16</t>
        </is>
      </c>
      <c r="I324" t="n">
        <v>20251031</v>
      </c>
      <c r="J324" t="inlineStr">
        <is>
          <t>2025-10-31</t>
        </is>
      </c>
      <c r="K324" s="9" t="n">
        <v>24664</v>
      </c>
      <c r="L324" t="inlineStr">
        <is>
          <t>USD</t>
        </is>
      </c>
      <c r="M324" s="4" t="n">
        <v>24664</v>
      </c>
      <c r="N324" t="inlineStr">
        <is>
          <t>Paid</t>
        </is>
      </c>
      <c r="O324" t="inlineStr">
        <is>
          <t>False</t>
        </is>
      </c>
      <c r="P324" t="n">
        <v>45</v>
      </c>
      <c r="Q324">
        <f>VLOOKUP(D324,GL_Accounts!$A$2:$E$1048576,5,FALSE)</f>
        <v/>
      </c>
      <c r="R324">
        <f>VLOOKUP(D324,GL_Accounts!$A$2:$E$1048576,4,FALSE)</f>
        <v/>
      </c>
    </row>
    <row r="325">
      <c r="A325" t="inlineStr">
        <is>
          <t>INV200324</t>
        </is>
      </c>
      <c r="B325" t="n">
        <v>60</v>
      </c>
      <c r="C325" t="inlineStr">
        <is>
          <t>V0001</t>
        </is>
      </c>
      <c r="D325" t="n">
        <v>3</v>
      </c>
      <c r="E325" t="n">
        <v>60120</v>
      </c>
      <c r="F325" t="inlineStr">
        <is>
          <t>PO100249</t>
        </is>
      </c>
      <c r="G325" t="n">
        <v>20260411</v>
      </c>
      <c r="H325" t="inlineStr">
        <is>
          <t>2026-04-11</t>
        </is>
      </c>
      <c r="I325" t="n">
        <v>20260526</v>
      </c>
      <c r="J325" t="inlineStr">
        <is>
          <t>2026-05-26</t>
        </is>
      </c>
      <c r="K325" s="9" t="n">
        <v>67894.98</v>
      </c>
      <c r="L325" t="inlineStr">
        <is>
          <t>USD</t>
        </is>
      </c>
      <c r="M325" s="4" t="n">
        <v>67894.98</v>
      </c>
      <c r="N325" t="inlineStr">
        <is>
          <t>Paid</t>
        </is>
      </c>
      <c r="O325" t="inlineStr">
        <is>
          <t>False</t>
        </is>
      </c>
      <c r="P325" t="n">
        <v>45</v>
      </c>
      <c r="Q325">
        <f>VLOOKUP(D325,GL_Accounts!$A$2:$E$1048576,5,FALSE)</f>
        <v/>
      </c>
      <c r="R325">
        <f>VLOOKUP(D325,GL_Accounts!$A$2:$E$1048576,4,FALSE)</f>
        <v/>
      </c>
    </row>
    <row r="326">
      <c r="A326" t="inlineStr">
        <is>
          <t>INV200325</t>
        </is>
      </c>
      <c r="B326" t="n">
        <v>48</v>
      </c>
      <c r="C326" t="inlineStr">
        <is>
          <t>V0048</t>
        </is>
      </c>
      <c r="D326" t="n">
        <v>4</v>
      </c>
      <c r="E326" t="n">
        <v>60200</v>
      </c>
      <c r="F326" t="inlineStr">
        <is>
          <t>PO100250</t>
        </is>
      </c>
      <c r="G326" t="n">
        <v>20260627</v>
      </c>
      <c r="H326" t="inlineStr">
        <is>
          <t>2026-06-27</t>
        </is>
      </c>
      <c r="I326" t="n">
        <v>20260811</v>
      </c>
      <c r="J326" t="inlineStr">
        <is>
          <t>2026-08-11</t>
        </is>
      </c>
      <c r="K326" s="9" t="n">
        <v>17845.75</v>
      </c>
      <c r="L326" t="inlineStr">
        <is>
          <t>USD</t>
        </is>
      </c>
      <c r="M326" s="4" t="n">
        <v>17845.75</v>
      </c>
      <c r="N326" t="inlineStr">
        <is>
          <t>Unpaid</t>
        </is>
      </c>
      <c r="O326" t="inlineStr">
        <is>
          <t>False</t>
        </is>
      </c>
      <c r="P326" t="n">
        <v>45</v>
      </c>
      <c r="Q326">
        <f>VLOOKUP(D326,GL_Accounts!$A$2:$E$1048576,5,FALSE)</f>
        <v/>
      </c>
      <c r="R326">
        <f>VLOOKUP(D326,GL_Accounts!$A$2:$E$1048576,4,FALSE)</f>
        <v/>
      </c>
    </row>
    <row r="327">
      <c r="A327" t="inlineStr">
        <is>
          <t>INV200326</t>
        </is>
      </c>
      <c r="B327" t="n">
        <v>16</v>
      </c>
      <c r="C327" t="inlineStr">
        <is>
          <t>V0016</t>
        </is>
      </c>
      <c r="D327" t="n">
        <v>8</v>
      </c>
      <c r="E327" t="n">
        <v>61300</v>
      </c>
      <c r="F327" t="inlineStr">
        <is>
          <t>PO100251</t>
        </is>
      </c>
      <c r="G327" t="n">
        <v>20251029</v>
      </c>
      <c r="H327" t="inlineStr">
        <is>
          <t>2025-10-29</t>
        </is>
      </c>
      <c r="I327" t="n">
        <v>20251128</v>
      </c>
      <c r="J327" t="inlineStr">
        <is>
          <t>2025-11-28</t>
        </is>
      </c>
      <c r="K327" s="9" t="n">
        <v>111343.57</v>
      </c>
      <c r="L327" t="inlineStr">
        <is>
          <t>USD</t>
        </is>
      </c>
      <c r="M327" s="4" t="n">
        <v>111343.57</v>
      </c>
      <c r="N327" t="inlineStr">
        <is>
          <t>Paid</t>
        </is>
      </c>
      <c r="O327" t="inlineStr">
        <is>
          <t>False</t>
        </is>
      </c>
      <c r="P327" t="n">
        <v>30</v>
      </c>
      <c r="Q327">
        <f>VLOOKUP(D327,GL_Accounts!$A$2:$E$1048576,5,FALSE)</f>
        <v/>
      </c>
      <c r="R327">
        <f>VLOOKUP(D327,GL_Accounts!$A$2:$E$1048576,4,FALSE)</f>
        <v/>
      </c>
    </row>
    <row r="328">
      <c r="A328" t="inlineStr">
        <is>
          <t>INV200327</t>
        </is>
      </c>
      <c r="B328" t="n">
        <v>25</v>
      </c>
      <c r="C328" t="inlineStr">
        <is>
          <t>V0025</t>
        </is>
      </c>
      <c r="D328" t="n">
        <v>8</v>
      </c>
      <c r="E328" t="n">
        <v>61300</v>
      </c>
      <c r="F328" t="inlineStr">
        <is>
          <t>PO100252</t>
        </is>
      </c>
      <c r="G328" t="n">
        <v>20250216</v>
      </c>
      <c r="H328" t="inlineStr">
        <is>
          <t>2025-02-16</t>
        </is>
      </c>
      <c r="I328" t="n">
        <v>20250318</v>
      </c>
      <c r="J328" t="inlineStr">
        <is>
          <t>2025-03-18</t>
        </is>
      </c>
      <c r="K328" s="9" t="n">
        <v>8224.549999999999</v>
      </c>
      <c r="L328" t="inlineStr">
        <is>
          <t>GBP</t>
        </is>
      </c>
      <c r="M328" s="4" t="n">
        <v>10445.18</v>
      </c>
      <c r="N328" t="inlineStr">
        <is>
          <t>Paid</t>
        </is>
      </c>
      <c r="O328" t="inlineStr">
        <is>
          <t>False</t>
        </is>
      </c>
      <c r="P328" t="n">
        <v>30</v>
      </c>
      <c r="Q328">
        <f>VLOOKUP(D328,GL_Accounts!$A$2:$E$1048576,5,FALSE)</f>
        <v/>
      </c>
      <c r="R328">
        <f>VLOOKUP(D328,GL_Accounts!$A$2:$E$1048576,4,FALSE)</f>
        <v/>
      </c>
    </row>
    <row r="329">
      <c r="A329" t="inlineStr">
        <is>
          <t>INV200328</t>
        </is>
      </c>
      <c r="B329" t="n">
        <v>42</v>
      </c>
      <c r="C329" t="inlineStr">
        <is>
          <t>V0042</t>
        </is>
      </c>
      <c r="D329" t="n">
        <v>16</v>
      </c>
      <c r="E329" t="n">
        <v>63300</v>
      </c>
      <c r="F329" t="inlineStr">
        <is>
          <t>PO100253</t>
        </is>
      </c>
      <c r="G329" t="n">
        <v>20251118</v>
      </c>
      <c r="H329" t="inlineStr">
        <is>
          <t>2025-11-18</t>
        </is>
      </c>
      <c r="I329" t="n">
        <v>20260102</v>
      </c>
      <c r="J329" t="inlineStr">
        <is>
          <t>2026-01-02</t>
        </is>
      </c>
      <c r="K329" s="9" t="n">
        <v>6443.23</v>
      </c>
      <c r="L329" t="inlineStr">
        <is>
          <t>USD</t>
        </is>
      </c>
      <c r="M329" s="4" t="n">
        <v>6443.23</v>
      </c>
      <c r="N329" t="inlineStr">
        <is>
          <t>Paid</t>
        </is>
      </c>
      <c r="O329" t="inlineStr">
        <is>
          <t>False</t>
        </is>
      </c>
      <c r="P329" t="n">
        <v>45</v>
      </c>
      <c r="Q329">
        <f>VLOOKUP(D329,GL_Accounts!$A$2:$E$1048576,5,FALSE)</f>
        <v/>
      </c>
      <c r="R329">
        <f>VLOOKUP(D329,GL_Accounts!$A$2:$E$1048576,4,FALSE)</f>
        <v/>
      </c>
    </row>
    <row r="330">
      <c r="A330" t="inlineStr">
        <is>
          <t>INV200329</t>
        </is>
      </c>
      <c r="B330" t="n">
        <v>20</v>
      </c>
      <c r="C330" t="inlineStr">
        <is>
          <t>V0020</t>
        </is>
      </c>
      <c r="D330" t="n">
        <v>8</v>
      </c>
      <c r="E330" t="n">
        <v>61300</v>
      </c>
      <c r="F330" t="inlineStr">
        <is>
          <t>PO100254</t>
        </is>
      </c>
      <c r="G330" t="n">
        <v>20241122</v>
      </c>
      <c r="H330" t="inlineStr">
        <is>
          <t>2024-11-22</t>
        </is>
      </c>
      <c r="I330" t="n">
        <v>20241207</v>
      </c>
      <c r="J330" t="inlineStr">
        <is>
          <t>2024-12-07</t>
        </is>
      </c>
      <c r="K330" s="9" t="n">
        <v>2370.08</v>
      </c>
      <c r="L330" t="inlineStr">
        <is>
          <t>USD</t>
        </is>
      </c>
      <c r="M330" s="4" t="n">
        <v>2370.08</v>
      </c>
      <c r="N330" t="inlineStr">
        <is>
          <t>Paid</t>
        </is>
      </c>
      <c r="O330" t="inlineStr">
        <is>
          <t>False</t>
        </is>
      </c>
      <c r="P330" t="n">
        <v>15</v>
      </c>
      <c r="Q330">
        <f>VLOOKUP(D330,GL_Accounts!$A$2:$E$1048576,5,FALSE)</f>
        <v/>
      </c>
      <c r="R330">
        <f>VLOOKUP(D330,GL_Accounts!$A$2:$E$1048576,4,FALSE)</f>
        <v/>
      </c>
    </row>
    <row r="331">
      <c r="A331" t="inlineStr">
        <is>
          <t>INV200330</t>
        </is>
      </c>
      <c r="B331" t="n">
        <v>20</v>
      </c>
      <c r="C331" t="inlineStr">
        <is>
          <t>V0020</t>
        </is>
      </c>
      <c r="D331" t="n">
        <v>9</v>
      </c>
      <c r="E331" t="n">
        <v>61400</v>
      </c>
      <c r="F331" t="inlineStr">
        <is>
          <t>PO100254</t>
        </is>
      </c>
      <c r="G331" t="n">
        <v>20241219</v>
      </c>
      <c r="H331" t="inlineStr">
        <is>
          <t>2024-12-19</t>
        </is>
      </c>
      <c r="I331" t="n">
        <v>20250103</v>
      </c>
      <c r="J331" t="inlineStr">
        <is>
          <t>2025-01-03</t>
        </is>
      </c>
      <c r="K331" s="9" t="n">
        <v>4103.9</v>
      </c>
      <c r="L331" t="inlineStr">
        <is>
          <t>USD</t>
        </is>
      </c>
      <c r="M331" s="4" t="n">
        <v>4103.9</v>
      </c>
      <c r="N331" t="inlineStr">
        <is>
          <t>Paid</t>
        </is>
      </c>
      <c r="O331" t="inlineStr">
        <is>
          <t>False</t>
        </is>
      </c>
      <c r="P331" t="n">
        <v>15</v>
      </c>
      <c r="Q331">
        <f>VLOOKUP(D331,GL_Accounts!$A$2:$E$1048576,5,FALSE)</f>
        <v/>
      </c>
      <c r="R331">
        <f>VLOOKUP(D331,GL_Accounts!$A$2:$E$1048576,4,FALSE)</f>
        <v/>
      </c>
    </row>
    <row r="332">
      <c r="A332" t="inlineStr">
        <is>
          <t>INV200331</t>
        </is>
      </c>
      <c r="B332" t="n">
        <v>10</v>
      </c>
      <c r="C332" t="inlineStr">
        <is>
          <t>V0010</t>
        </is>
      </c>
      <c r="D332" t="n">
        <v>8</v>
      </c>
      <c r="E332" t="n">
        <v>61300</v>
      </c>
      <c r="F332" t="inlineStr">
        <is>
          <t>PO100255</t>
        </is>
      </c>
      <c r="G332" t="n">
        <v>20250209</v>
      </c>
      <c r="H332" t="inlineStr">
        <is>
          <t>2025-02-09</t>
        </is>
      </c>
      <c r="I332" t="n">
        <v>20250224</v>
      </c>
      <c r="J332" t="inlineStr">
        <is>
          <t>2025-02-24</t>
        </is>
      </c>
      <c r="K332" s="9" t="n">
        <v>10182.44</v>
      </c>
      <c r="L332" t="inlineStr">
        <is>
          <t>USD</t>
        </is>
      </c>
      <c r="M332" s="4" t="n">
        <v>10182.44</v>
      </c>
      <c r="N332" t="inlineStr">
        <is>
          <t>Paid</t>
        </is>
      </c>
      <c r="O332" t="inlineStr">
        <is>
          <t>False</t>
        </is>
      </c>
      <c r="P332" t="n">
        <v>15</v>
      </c>
      <c r="Q332">
        <f>VLOOKUP(D332,GL_Accounts!$A$2:$E$1048576,5,FALSE)</f>
        <v/>
      </c>
      <c r="R332">
        <f>VLOOKUP(D332,GL_Accounts!$A$2:$E$1048576,4,FALSE)</f>
        <v/>
      </c>
    </row>
    <row r="333">
      <c r="A333" t="inlineStr">
        <is>
          <t>INV200332</t>
        </is>
      </c>
      <c r="B333" t="n">
        <v>27</v>
      </c>
      <c r="C333" t="inlineStr">
        <is>
          <t>V0027</t>
        </is>
      </c>
      <c r="D333" t="n">
        <v>7</v>
      </c>
      <c r="E333" t="n">
        <v>61200</v>
      </c>
      <c r="F333" t="inlineStr">
        <is>
          <t>PO100257</t>
        </is>
      </c>
      <c r="G333" t="n">
        <v>20250805</v>
      </c>
      <c r="H333" t="inlineStr">
        <is>
          <t>2025-08-05</t>
        </is>
      </c>
      <c r="I333" t="n">
        <v>20250904</v>
      </c>
      <c r="J333" t="inlineStr">
        <is>
          <t>2025-09-04</t>
        </is>
      </c>
      <c r="K333" s="9" t="n">
        <v>2997.12</v>
      </c>
      <c r="L333" t="inlineStr">
        <is>
          <t>USD</t>
        </is>
      </c>
      <c r="M333" s="4" t="n">
        <v>2997.12</v>
      </c>
      <c r="N333" t="inlineStr">
        <is>
          <t>Paid</t>
        </is>
      </c>
      <c r="O333" t="inlineStr">
        <is>
          <t>False</t>
        </is>
      </c>
      <c r="P333" t="n">
        <v>30</v>
      </c>
      <c r="Q333">
        <f>VLOOKUP(D333,GL_Accounts!$A$2:$E$1048576,5,FALSE)</f>
        <v/>
      </c>
      <c r="R333">
        <f>VLOOKUP(D333,GL_Accounts!$A$2:$E$1048576,4,FALSE)</f>
        <v/>
      </c>
    </row>
    <row r="334">
      <c r="A334" t="inlineStr">
        <is>
          <t>INV200333</t>
        </is>
      </c>
      <c r="B334" t="n">
        <v>27</v>
      </c>
      <c r="C334" t="inlineStr">
        <is>
          <t>V0027</t>
        </is>
      </c>
      <c r="D334" t="n">
        <v>8</v>
      </c>
      <c r="E334" t="n">
        <v>61300</v>
      </c>
      <c r="F334" t="inlineStr">
        <is>
          <t>PO100257</t>
        </is>
      </c>
      <c r="G334" t="n">
        <v>20250820</v>
      </c>
      <c r="H334" t="inlineStr">
        <is>
          <t>2025-08-20</t>
        </is>
      </c>
      <c r="I334" t="n">
        <v>20250919</v>
      </c>
      <c r="J334" t="inlineStr">
        <is>
          <t>2025-09-19</t>
        </is>
      </c>
      <c r="K334" s="9" t="n">
        <v>4424.71</v>
      </c>
      <c r="L334" t="inlineStr">
        <is>
          <t>USD</t>
        </is>
      </c>
      <c r="M334" s="4" t="n">
        <v>4424.71</v>
      </c>
      <c r="N334" t="inlineStr">
        <is>
          <t>Paid</t>
        </is>
      </c>
      <c r="O334" t="inlineStr">
        <is>
          <t>False</t>
        </is>
      </c>
      <c r="P334" t="n">
        <v>30</v>
      </c>
      <c r="Q334">
        <f>VLOOKUP(D334,GL_Accounts!$A$2:$E$1048576,5,FALSE)</f>
        <v/>
      </c>
      <c r="R334">
        <f>VLOOKUP(D334,GL_Accounts!$A$2:$E$1048576,4,FALSE)</f>
        <v/>
      </c>
    </row>
    <row r="335">
      <c r="A335" t="inlineStr">
        <is>
          <t>INV200334</t>
        </is>
      </c>
      <c r="B335" t="n">
        <v>27</v>
      </c>
      <c r="C335" t="inlineStr">
        <is>
          <t>V0027</t>
        </is>
      </c>
      <c r="D335" t="n">
        <v>6</v>
      </c>
      <c r="E335" t="n">
        <v>61100</v>
      </c>
      <c r="F335" t="inlineStr">
        <is>
          <t>PO100257</t>
        </is>
      </c>
      <c r="G335" t="n">
        <v>20250921</v>
      </c>
      <c r="H335" t="inlineStr">
        <is>
          <t>2025-09-21</t>
        </is>
      </c>
      <c r="I335" t="n">
        <v>20251021</v>
      </c>
      <c r="J335" t="inlineStr">
        <is>
          <t>2025-10-21</t>
        </is>
      </c>
      <c r="K335" s="9" t="n">
        <v>2831.76</v>
      </c>
      <c r="L335" t="inlineStr">
        <is>
          <t>USD</t>
        </is>
      </c>
      <c r="M335" s="4" t="n">
        <v>2831.76</v>
      </c>
      <c r="N335" t="inlineStr">
        <is>
          <t>Paid</t>
        </is>
      </c>
      <c r="O335" t="inlineStr">
        <is>
          <t>False</t>
        </is>
      </c>
      <c r="P335" t="n">
        <v>30</v>
      </c>
      <c r="Q335">
        <f>VLOOKUP(D335,GL_Accounts!$A$2:$E$1048576,5,FALSE)</f>
        <v/>
      </c>
      <c r="R335">
        <f>VLOOKUP(D335,GL_Accounts!$A$2:$E$1048576,4,FALSE)</f>
        <v/>
      </c>
    </row>
    <row r="336">
      <c r="A336" t="inlineStr">
        <is>
          <t>INV200335</t>
        </is>
      </c>
      <c r="B336" t="n">
        <v>42</v>
      </c>
      <c r="C336" t="inlineStr">
        <is>
          <t>V0042</t>
        </is>
      </c>
      <c r="D336" t="n">
        <v>19</v>
      </c>
      <c r="E336" t="n">
        <v>64300</v>
      </c>
      <c r="F336" t="inlineStr">
        <is>
          <t>PO100258</t>
        </is>
      </c>
      <c r="G336" t="n">
        <v>20251018</v>
      </c>
      <c r="H336" t="inlineStr">
        <is>
          <t>2025-10-18</t>
        </is>
      </c>
      <c r="I336" t="n">
        <v>20251202</v>
      </c>
      <c r="J336" t="inlineStr">
        <is>
          <t>2025-12-02</t>
        </is>
      </c>
      <c r="K336" s="9" t="n">
        <v>6106.67</v>
      </c>
      <c r="L336" t="inlineStr">
        <is>
          <t>USD</t>
        </is>
      </c>
      <c r="M336" s="4" t="n">
        <v>6106.67</v>
      </c>
      <c r="N336" t="inlineStr">
        <is>
          <t>Paid</t>
        </is>
      </c>
      <c r="O336" t="inlineStr">
        <is>
          <t>False</t>
        </is>
      </c>
      <c r="P336" t="n">
        <v>45</v>
      </c>
      <c r="Q336">
        <f>VLOOKUP(D336,GL_Accounts!$A$2:$E$1048576,5,FALSE)</f>
        <v/>
      </c>
      <c r="R336">
        <f>VLOOKUP(D336,GL_Accounts!$A$2:$E$1048576,4,FALSE)</f>
        <v/>
      </c>
    </row>
    <row r="337">
      <c r="A337" t="inlineStr">
        <is>
          <t>INV200336</t>
        </is>
      </c>
      <c r="B337" t="n">
        <v>42</v>
      </c>
      <c r="C337" t="inlineStr">
        <is>
          <t>V0042</t>
        </is>
      </c>
      <c r="D337" t="n">
        <v>8</v>
      </c>
      <c r="E337" t="n">
        <v>61300</v>
      </c>
      <c r="F337" t="inlineStr">
        <is>
          <t>PO100258</t>
        </is>
      </c>
      <c r="G337" t="n">
        <v>20251101</v>
      </c>
      <c r="H337" t="inlineStr">
        <is>
          <t>2025-11-01</t>
        </is>
      </c>
      <c r="I337" t="n">
        <v>20251216</v>
      </c>
      <c r="J337" t="inlineStr">
        <is>
          <t>2025-12-16</t>
        </is>
      </c>
      <c r="K337" s="9" t="n">
        <v>19267.39</v>
      </c>
      <c r="L337" t="inlineStr">
        <is>
          <t>USD</t>
        </is>
      </c>
      <c r="M337" s="4" t="n">
        <v>19267.39</v>
      </c>
      <c r="N337" t="inlineStr">
        <is>
          <t>Unpaid</t>
        </is>
      </c>
      <c r="O337" t="inlineStr">
        <is>
          <t>False</t>
        </is>
      </c>
      <c r="P337" t="n">
        <v>45</v>
      </c>
      <c r="Q337">
        <f>VLOOKUP(D337,GL_Accounts!$A$2:$E$1048576,5,FALSE)</f>
        <v/>
      </c>
      <c r="R337">
        <f>VLOOKUP(D337,GL_Accounts!$A$2:$E$1048576,4,FALSE)</f>
        <v/>
      </c>
    </row>
    <row r="338">
      <c r="A338" t="inlineStr">
        <is>
          <t>INV200337</t>
        </is>
      </c>
      <c r="B338" t="n">
        <v>62</v>
      </c>
      <c r="C338" t="inlineStr">
        <is>
          <t>V0002</t>
        </is>
      </c>
      <c r="D338" t="n">
        <v>13</v>
      </c>
      <c r="E338" t="n">
        <v>62400</v>
      </c>
      <c r="F338" t="inlineStr">
        <is>
          <t>PO100259</t>
        </is>
      </c>
      <c r="G338" t="n">
        <v>20260401</v>
      </c>
      <c r="H338" t="inlineStr">
        <is>
          <t>2026-04-01</t>
        </is>
      </c>
      <c r="I338" t="n">
        <v>20260501</v>
      </c>
      <c r="J338" t="inlineStr">
        <is>
          <t>2026-05-01</t>
        </is>
      </c>
      <c r="K338" s="9" t="n">
        <v>1948.92</v>
      </c>
      <c r="L338" t="inlineStr">
        <is>
          <t>USD</t>
        </is>
      </c>
      <c r="M338" s="4" t="n">
        <v>1948.92</v>
      </c>
      <c r="N338" t="inlineStr">
        <is>
          <t>Paid</t>
        </is>
      </c>
      <c r="O338" t="inlineStr">
        <is>
          <t>False</t>
        </is>
      </c>
      <c r="P338" t="n">
        <v>30</v>
      </c>
      <c r="Q338">
        <f>VLOOKUP(D338,GL_Accounts!$A$2:$E$1048576,5,FALSE)</f>
        <v/>
      </c>
      <c r="R338">
        <f>VLOOKUP(D338,GL_Accounts!$A$2:$E$1048576,4,FALSE)</f>
        <v/>
      </c>
    </row>
    <row r="339">
      <c r="A339" t="inlineStr">
        <is>
          <t>INV200338</t>
        </is>
      </c>
      <c r="B339" t="n">
        <v>9</v>
      </c>
      <c r="C339" t="inlineStr">
        <is>
          <t>V0009</t>
        </is>
      </c>
      <c r="D339" t="n">
        <v>8</v>
      </c>
      <c r="E339" t="n">
        <v>61300</v>
      </c>
      <c r="F339" t="inlineStr">
        <is>
          <t>PO100260</t>
        </is>
      </c>
      <c r="G339" t="n">
        <v>20260504</v>
      </c>
      <c r="H339" t="inlineStr">
        <is>
          <t>2026-05-04</t>
        </is>
      </c>
      <c r="I339" t="n">
        <v>20260519</v>
      </c>
      <c r="J339" t="inlineStr">
        <is>
          <t>2026-05-19</t>
        </is>
      </c>
      <c r="K339" s="9" t="n">
        <v>3910.8</v>
      </c>
      <c r="L339" t="inlineStr">
        <is>
          <t>USD</t>
        </is>
      </c>
      <c r="M339" s="4" t="n">
        <v>3910.8</v>
      </c>
      <c r="N339" t="inlineStr">
        <is>
          <t>Unpaid</t>
        </is>
      </c>
      <c r="O339" t="inlineStr">
        <is>
          <t>False</t>
        </is>
      </c>
      <c r="P339" t="n">
        <v>15</v>
      </c>
      <c r="Q339">
        <f>VLOOKUP(D339,GL_Accounts!$A$2:$E$1048576,5,FALSE)</f>
        <v/>
      </c>
      <c r="R339">
        <f>VLOOKUP(D339,GL_Accounts!$A$2:$E$1048576,4,FALSE)</f>
        <v/>
      </c>
    </row>
    <row r="340">
      <c r="A340" t="inlineStr">
        <is>
          <t>INV200339</t>
        </is>
      </c>
      <c r="B340" t="n">
        <v>9</v>
      </c>
      <c r="C340" t="inlineStr">
        <is>
          <t>V0009</t>
        </is>
      </c>
      <c r="D340" t="n">
        <v>8</v>
      </c>
      <c r="E340" t="n">
        <v>61300</v>
      </c>
      <c r="F340" t="inlineStr">
        <is>
          <t>PO100260</t>
        </is>
      </c>
      <c r="G340" t="n">
        <v>20260603</v>
      </c>
      <c r="H340" t="inlineStr">
        <is>
          <t>2026-06-03</t>
        </is>
      </c>
      <c r="I340" t="n">
        <v>20260618</v>
      </c>
      <c r="J340" t="inlineStr">
        <is>
          <t>2026-06-18</t>
        </is>
      </c>
      <c r="K340" s="9" t="n">
        <v>3377.12</v>
      </c>
      <c r="L340" t="inlineStr">
        <is>
          <t>USD</t>
        </is>
      </c>
      <c r="M340" s="4" t="n">
        <v>3377.12</v>
      </c>
      <c r="N340" t="inlineStr">
        <is>
          <t>Paid</t>
        </is>
      </c>
      <c r="O340" t="inlineStr">
        <is>
          <t>False</t>
        </is>
      </c>
      <c r="P340" t="n">
        <v>15</v>
      </c>
      <c r="Q340">
        <f>VLOOKUP(D340,GL_Accounts!$A$2:$E$1048576,5,FALSE)</f>
        <v/>
      </c>
      <c r="R340">
        <f>VLOOKUP(D340,GL_Accounts!$A$2:$E$1048576,4,FALSE)</f>
        <v/>
      </c>
    </row>
    <row r="341">
      <c r="A341" t="inlineStr">
        <is>
          <t>INV200340</t>
        </is>
      </c>
      <c r="B341" t="n">
        <v>9</v>
      </c>
      <c r="C341" t="inlineStr">
        <is>
          <t>V0009</t>
        </is>
      </c>
      <c r="D341" t="n">
        <v>9</v>
      </c>
      <c r="E341" t="n">
        <v>61400</v>
      </c>
      <c r="F341" t="inlineStr">
        <is>
          <t>PO100260</t>
        </is>
      </c>
      <c r="G341" t="n">
        <v>20260719</v>
      </c>
      <c r="H341" t="inlineStr">
        <is>
          <t>2026-07-19</t>
        </is>
      </c>
      <c r="I341" t="n">
        <v>20260803</v>
      </c>
      <c r="J341" t="inlineStr">
        <is>
          <t>2026-08-03</t>
        </is>
      </c>
      <c r="K341" s="9" t="n">
        <v>2412.55</v>
      </c>
      <c r="L341" t="inlineStr">
        <is>
          <t>USD</t>
        </is>
      </c>
      <c r="M341" s="4" t="n">
        <v>2412.55</v>
      </c>
      <c r="N341" t="inlineStr">
        <is>
          <t>Paid</t>
        </is>
      </c>
      <c r="O341" t="inlineStr">
        <is>
          <t>False</t>
        </is>
      </c>
      <c r="P341" t="n">
        <v>15</v>
      </c>
      <c r="Q341">
        <f>VLOOKUP(D341,GL_Accounts!$A$2:$E$1048576,5,FALSE)</f>
        <v/>
      </c>
      <c r="R341">
        <f>VLOOKUP(D341,GL_Accounts!$A$2:$E$1048576,4,FALSE)</f>
        <v/>
      </c>
    </row>
    <row r="342">
      <c r="A342" t="inlineStr">
        <is>
          <t>INV200341</t>
        </is>
      </c>
      <c r="B342" t="n">
        <v>9</v>
      </c>
      <c r="C342" t="inlineStr">
        <is>
          <t>V0009</t>
        </is>
      </c>
      <c r="D342" t="n">
        <v>6</v>
      </c>
      <c r="E342" t="n">
        <v>61100</v>
      </c>
      <c r="F342" t="inlineStr">
        <is>
          <t>PO100262</t>
        </is>
      </c>
      <c r="G342" t="n">
        <v>20251110</v>
      </c>
      <c r="H342" t="inlineStr">
        <is>
          <t>2025-11-10</t>
        </is>
      </c>
      <c r="I342" t="n">
        <v>20251125</v>
      </c>
      <c r="J342" t="inlineStr">
        <is>
          <t>2025-11-25</t>
        </is>
      </c>
      <c r="K342" s="9" t="n">
        <v>3453.43</v>
      </c>
      <c r="L342" t="inlineStr">
        <is>
          <t>USD</t>
        </is>
      </c>
      <c r="M342" s="4" t="n">
        <v>3453.43</v>
      </c>
      <c r="N342" t="inlineStr">
        <is>
          <t>Paid</t>
        </is>
      </c>
      <c r="O342" t="inlineStr">
        <is>
          <t>False</t>
        </is>
      </c>
      <c r="P342" t="n">
        <v>15</v>
      </c>
      <c r="Q342">
        <f>VLOOKUP(D342,GL_Accounts!$A$2:$E$1048576,5,FALSE)</f>
        <v/>
      </c>
      <c r="R342">
        <f>VLOOKUP(D342,GL_Accounts!$A$2:$E$1048576,4,FALSE)</f>
        <v/>
      </c>
    </row>
    <row r="343">
      <c r="A343" t="inlineStr">
        <is>
          <t>INV200342</t>
        </is>
      </c>
      <c r="B343" t="n">
        <v>9</v>
      </c>
      <c r="C343" t="inlineStr">
        <is>
          <t>V0009</t>
        </is>
      </c>
      <c r="D343" t="n">
        <v>9</v>
      </c>
      <c r="E343" t="n">
        <v>61400</v>
      </c>
      <c r="F343" t="inlineStr">
        <is>
          <t>PO100262</t>
        </is>
      </c>
      <c r="G343" t="n">
        <v>20251129</v>
      </c>
      <c r="H343" t="inlineStr">
        <is>
          <t>2025-11-29</t>
        </is>
      </c>
      <c r="I343" t="n">
        <v>20251214</v>
      </c>
      <c r="J343" t="inlineStr">
        <is>
          <t>2025-12-14</t>
        </is>
      </c>
      <c r="K343" s="9" t="n">
        <v>2479.01</v>
      </c>
      <c r="L343" t="inlineStr">
        <is>
          <t>USD</t>
        </is>
      </c>
      <c r="M343" s="4" t="n">
        <v>2479.01</v>
      </c>
      <c r="N343" t="inlineStr">
        <is>
          <t>Paid</t>
        </is>
      </c>
      <c r="O343" t="inlineStr">
        <is>
          <t>False</t>
        </is>
      </c>
      <c r="P343" t="n">
        <v>15</v>
      </c>
      <c r="Q343">
        <f>VLOOKUP(D343,GL_Accounts!$A$2:$E$1048576,5,FALSE)</f>
        <v/>
      </c>
      <c r="R343">
        <f>VLOOKUP(D343,GL_Accounts!$A$2:$E$1048576,4,FALSE)</f>
        <v/>
      </c>
    </row>
    <row r="344">
      <c r="A344" t="inlineStr">
        <is>
          <t>INV200343</t>
        </is>
      </c>
      <c r="B344" t="n">
        <v>31</v>
      </c>
      <c r="C344" t="inlineStr">
        <is>
          <t>V0031</t>
        </is>
      </c>
      <c r="D344" t="n">
        <v>1</v>
      </c>
      <c r="E344" t="n">
        <v>60100</v>
      </c>
      <c r="F344" t="inlineStr">
        <is>
          <t>PO100263</t>
        </is>
      </c>
      <c r="G344" t="n">
        <v>20260507</v>
      </c>
      <c r="H344" t="inlineStr">
        <is>
          <t>2026-05-07</t>
        </is>
      </c>
      <c r="I344" t="n">
        <v>20260606</v>
      </c>
      <c r="J344" t="inlineStr">
        <is>
          <t>2026-06-06</t>
        </is>
      </c>
      <c r="K344" s="9" t="n">
        <v>9216.219999999999</v>
      </c>
      <c r="L344" t="inlineStr">
        <is>
          <t>USD</t>
        </is>
      </c>
      <c r="M344" s="4" t="n">
        <v>9216.219999999999</v>
      </c>
      <c r="N344" t="inlineStr">
        <is>
          <t>Unpaid</t>
        </is>
      </c>
      <c r="O344" t="inlineStr">
        <is>
          <t>False</t>
        </is>
      </c>
      <c r="P344" t="n">
        <v>30</v>
      </c>
      <c r="Q344">
        <f>VLOOKUP(D344,GL_Accounts!$A$2:$E$1048576,5,FALSE)</f>
        <v/>
      </c>
      <c r="R344">
        <f>VLOOKUP(D344,GL_Accounts!$A$2:$E$1048576,4,FALSE)</f>
        <v/>
      </c>
    </row>
    <row r="345">
      <c r="A345" t="inlineStr">
        <is>
          <t>INV200344</t>
        </is>
      </c>
      <c r="B345" t="n">
        <v>40</v>
      </c>
      <c r="C345" t="inlineStr">
        <is>
          <t>V0040</t>
        </is>
      </c>
      <c r="D345" t="n">
        <v>12</v>
      </c>
      <c r="E345" t="n">
        <v>62300</v>
      </c>
      <c r="F345" t="inlineStr">
        <is>
          <t>PO100264</t>
        </is>
      </c>
      <c r="G345" t="n">
        <v>20260112</v>
      </c>
      <c r="H345" t="inlineStr">
        <is>
          <t>2026-01-12</t>
        </is>
      </c>
      <c r="I345" t="n">
        <v>20260211</v>
      </c>
      <c r="J345" t="inlineStr">
        <is>
          <t>2026-02-11</t>
        </is>
      </c>
      <c r="K345" s="9" t="n">
        <v>1062.79</v>
      </c>
      <c r="L345" t="inlineStr">
        <is>
          <t>USD</t>
        </is>
      </c>
      <c r="M345" s="4" t="n">
        <v>1062.79</v>
      </c>
      <c r="N345" t="inlineStr">
        <is>
          <t>Paid</t>
        </is>
      </c>
      <c r="O345" t="inlineStr">
        <is>
          <t>False</t>
        </is>
      </c>
      <c r="P345" t="n">
        <v>30</v>
      </c>
      <c r="Q345">
        <f>VLOOKUP(D345,GL_Accounts!$A$2:$E$1048576,5,FALSE)</f>
        <v/>
      </c>
      <c r="R345">
        <f>VLOOKUP(D345,GL_Accounts!$A$2:$E$1048576,4,FALSE)</f>
        <v/>
      </c>
    </row>
    <row r="346">
      <c r="A346" t="inlineStr">
        <is>
          <t>INV200345</t>
        </is>
      </c>
      <c r="B346" t="n">
        <v>8</v>
      </c>
      <c r="C346" t="inlineStr">
        <is>
          <t>V0008</t>
        </is>
      </c>
      <c r="D346" t="n">
        <v>14</v>
      </c>
      <c r="E346" t="n">
        <v>63100</v>
      </c>
      <c r="F346" t="inlineStr">
        <is>
          <t>PO100265</t>
        </is>
      </c>
      <c r="G346" t="n">
        <v>20251011</v>
      </c>
      <c r="H346" t="inlineStr">
        <is>
          <t>2025-10-11</t>
        </is>
      </c>
      <c r="I346" t="n">
        <v>20251125</v>
      </c>
      <c r="J346" t="inlineStr">
        <is>
          <t>2025-11-25</t>
        </is>
      </c>
      <c r="K346" s="9" t="n">
        <v>57.45</v>
      </c>
      <c r="L346" t="inlineStr">
        <is>
          <t>EUR</t>
        </is>
      </c>
      <c r="M346" s="4" t="n">
        <v>62.05</v>
      </c>
      <c r="N346" t="inlineStr">
        <is>
          <t>Paid</t>
        </is>
      </c>
      <c r="O346" t="inlineStr">
        <is>
          <t>False</t>
        </is>
      </c>
      <c r="P346" t="n">
        <v>45</v>
      </c>
      <c r="Q346">
        <f>VLOOKUP(D346,GL_Accounts!$A$2:$E$1048576,5,FALSE)</f>
        <v/>
      </c>
      <c r="R346">
        <f>VLOOKUP(D346,GL_Accounts!$A$2:$E$1048576,4,FALSE)</f>
        <v/>
      </c>
    </row>
    <row r="347">
      <c r="A347" t="inlineStr">
        <is>
          <t>INV200346</t>
        </is>
      </c>
      <c r="B347" t="n">
        <v>61</v>
      </c>
      <c r="C347" t="inlineStr">
        <is>
          <t>V0008</t>
        </is>
      </c>
      <c r="D347" t="n">
        <v>15</v>
      </c>
      <c r="E347" t="n">
        <v>63200</v>
      </c>
      <c r="F347" t="inlineStr">
        <is>
          <t>PO100265</t>
        </is>
      </c>
      <c r="G347" t="n">
        <v>20251210</v>
      </c>
      <c r="H347" t="inlineStr">
        <is>
          <t>2025-12-10</t>
        </is>
      </c>
      <c r="I347" t="n">
        <v>20251225</v>
      </c>
      <c r="J347" t="inlineStr">
        <is>
          <t>2025-12-25</t>
        </is>
      </c>
      <c r="K347" s="9" t="n">
        <v>204</v>
      </c>
      <c r="L347" t="inlineStr">
        <is>
          <t>EUR</t>
        </is>
      </c>
      <c r="M347" s="4" t="n">
        <v>220.32</v>
      </c>
      <c r="N347" t="inlineStr">
        <is>
          <t>Paid</t>
        </is>
      </c>
      <c r="O347" t="inlineStr">
        <is>
          <t>False</t>
        </is>
      </c>
      <c r="P347" t="n">
        <v>15</v>
      </c>
      <c r="Q347">
        <f>VLOOKUP(D347,GL_Accounts!$A$2:$E$1048576,5,FALSE)</f>
        <v/>
      </c>
      <c r="R347">
        <f>VLOOKUP(D347,GL_Accounts!$A$2:$E$1048576,4,FALSE)</f>
        <v/>
      </c>
    </row>
    <row r="348">
      <c r="A348" t="inlineStr">
        <is>
          <t>INV200347</t>
        </is>
      </c>
      <c r="B348" t="n">
        <v>17</v>
      </c>
      <c r="C348" t="inlineStr">
        <is>
          <t>V0017</t>
        </is>
      </c>
      <c r="D348" t="n">
        <v>7</v>
      </c>
      <c r="E348" t="n">
        <v>61200</v>
      </c>
      <c r="F348" t="inlineStr">
        <is>
          <t>PO100266</t>
        </is>
      </c>
      <c r="G348" t="n">
        <v>20250501</v>
      </c>
      <c r="H348" t="inlineStr">
        <is>
          <t>2025-05-01</t>
        </is>
      </c>
      <c r="I348" t="n">
        <v>20250615</v>
      </c>
      <c r="J348" t="inlineStr">
        <is>
          <t>2025-06-15</t>
        </is>
      </c>
      <c r="K348" s="9" t="n">
        <v>6844.47</v>
      </c>
      <c r="L348" t="inlineStr">
        <is>
          <t>USD</t>
        </is>
      </c>
      <c r="M348" s="4" t="n">
        <v>6844.47</v>
      </c>
      <c r="N348" t="inlineStr">
        <is>
          <t>Paid</t>
        </is>
      </c>
      <c r="O348" t="inlineStr">
        <is>
          <t>False</t>
        </is>
      </c>
      <c r="P348" t="n">
        <v>45</v>
      </c>
      <c r="Q348">
        <f>VLOOKUP(D348,GL_Accounts!$A$2:$E$1048576,5,FALSE)</f>
        <v/>
      </c>
      <c r="R348">
        <f>VLOOKUP(D348,GL_Accounts!$A$2:$E$1048576,4,FALSE)</f>
        <v/>
      </c>
    </row>
    <row r="349">
      <c r="A349" t="inlineStr">
        <is>
          <t>INV200348</t>
        </is>
      </c>
      <c r="B349" t="n">
        <v>48</v>
      </c>
      <c r="C349" t="inlineStr">
        <is>
          <t>V0048</t>
        </is>
      </c>
      <c r="D349" t="n">
        <v>2</v>
      </c>
      <c r="E349" t="n">
        <v>60110</v>
      </c>
      <c r="F349" t="inlineStr">
        <is>
          <t>PO100267</t>
        </is>
      </c>
      <c r="G349" t="n">
        <v>20251209</v>
      </c>
      <c r="H349" t="inlineStr">
        <is>
          <t>2025-12-09</t>
        </is>
      </c>
      <c r="I349" t="n">
        <v>20260123</v>
      </c>
      <c r="J349" t="inlineStr">
        <is>
          <t>2026-01-23</t>
        </is>
      </c>
      <c r="K349" s="9" t="n">
        <v>9483.200000000001</v>
      </c>
      <c r="L349" t="inlineStr">
        <is>
          <t>USD</t>
        </is>
      </c>
      <c r="M349" s="4" t="n">
        <v>9483.200000000001</v>
      </c>
      <c r="N349" t="inlineStr">
        <is>
          <t>Paid</t>
        </is>
      </c>
      <c r="O349" t="inlineStr">
        <is>
          <t>False</t>
        </is>
      </c>
      <c r="P349" t="n">
        <v>45</v>
      </c>
      <c r="Q349">
        <f>VLOOKUP(D349,GL_Accounts!$A$2:$E$1048576,5,FALSE)</f>
        <v/>
      </c>
      <c r="R349">
        <f>VLOOKUP(D349,GL_Accounts!$A$2:$E$1048576,4,FALSE)</f>
        <v/>
      </c>
    </row>
    <row r="350">
      <c r="A350" t="inlineStr">
        <is>
          <t>INV200349</t>
        </is>
      </c>
      <c r="B350" t="n">
        <v>48</v>
      </c>
      <c r="C350" t="inlineStr">
        <is>
          <t>V0048</t>
        </is>
      </c>
      <c r="D350" t="n">
        <v>4</v>
      </c>
      <c r="E350" t="n">
        <v>60200</v>
      </c>
      <c r="F350" t="inlineStr">
        <is>
          <t>PO100267</t>
        </is>
      </c>
      <c r="G350" t="n">
        <v>20251212</v>
      </c>
      <c r="H350" t="inlineStr">
        <is>
          <t>2025-12-12</t>
        </is>
      </c>
      <c r="I350" t="n">
        <v>20260126</v>
      </c>
      <c r="J350" t="inlineStr">
        <is>
          <t>2026-01-26</t>
        </is>
      </c>
      <c r="K350" s="9" t="n">
        <v>4467.73</v>
      </c>
      <c r="L350" t="inlineStr">
        <is>
          <t>USD</t>
        </is>
      </c>
      <c r="M350" s="4" t="n">
        <v>4467.73</v>
      </c>
      <c r="N350" t="inlineStr">
        <is>
          <t>Paid</t>
        </is>
      </c>
      <c r="O350" t="inlineStr">
        <is>
          <t>False</t>
        </is>
      </c>
      <c r="P350" t="n">
        <v>45</v>
      </c>
      <c r="Q350">
        <f>VLOOKUP(D350,GL_Accounts!$A$2:$E$1048576,5,FALSE)</f>
        <v/>
      </c>
      <c r="R350">
        <f>VLOOKUP(D350,GL_Accounts!$A$2:$E$1048576,4,FALSE)</f>
        <v/>
      </c>
    </row>
    <row r="351">
      <c r="A351" t="inlineStr">
        <is>
          <t>INV200350</t>
        </is>
      </c>
      <c r="B351" t="n">
        <v>48</v>
      </c>
      <c r="C351" t="inlineStr">
        <is>
          <t>V0048</t>
        </is>
      </c>
      <c r="D351" t="n">
        <v>2</v>
      </c>
      <c r="E351" t="n">
        <v>60110</v>
      </c>
      <c r="F351" t="inlineStr">
        <is>
          <t>PO100267</t>
        </is>
      </c>
      <c r="G351" t="n">
        <v>20260113</v>
      </c>
      <c r="H351" t="inlineStr">
        <is>
          <t>2026-01-13</t>
        </is>
      </c>
      <c r="I351" t="n">
        <v>20260227</v>
      </c>
      <c r="J351" t="inlineStr">
        <is>
          <t>2026-02-27</t>
        </is>
      </c>
      <c r="K351" s="9" t="n">
        <v>9282.67</v>
      </c>
      <c r="L351" t="inlineStr">
        <is>
          <t>USD</t>
        </is>
      </c>
      <c r="M351" s="4" t="n">
        <v>9282.67</v>
      </c>
      <c r="N351" t="inlineStr">
        <is>
          <t>Paid</t>
        </is>
      </c>
      <c r="O351" t="inlineStr">
        <is>
          <t>False</t>
        </is>
      </c>
      <c r="P351" t="n">
        <v>45</v>
      </c>
      <c r="Q351">
        <f>VLOOKUP(D351,GL_Accounts!$A$2:$E$1048576,5,FALSE)</f>
        <v/>
      </c>
      <c r="R351">
        <f>VLOOKUP(D351,GL_Accounts!$A$2:$E$1048576,4,FALSE)</f>
        <v/>
      </c>
    </row>
    <row r="352">
      <c r="A352" t="inlineStr">
        <is>
          <t>INV200351</t>
        </is>
      </c>
      <c r="B352" t="n">
        <v>49</v>
      </c>
      <c r="C352" t="inlineStr">
        <is>
          <t>V0049</t>
        </is>
      </c>
      <c r="D352" t="n">
        <v>8</v>
      </c>
      <c r="E352" t="n">
        <v>61300</v>
      </c>
      <c r="F352" t="inlineStr">
        <is>
          <t>PO100268</t>
        </is>
      </c>
      <c r="G352" t="n">
        <v>20250516</v>
      </c>
      <c r="H352" t="inlineStr">
        <is>
          <t>2025-05-16</t>
        </is>
      </c>
      <c r="I352" t="n">
        <v>20250615</v>
      </c>
      <c r="J352" t="inlineStr">
        <is>
          <t>2025-06-15</t>
        </is>
      </c>
      <c r="K352" s="9" t="n">
        <v>4166.76</v>
      </c>
      <c r="L352" t="inlineStr">
        <is>
          <t>USD</t>
        </is>
      </c>
      <c r="M352" s="4" t="n">
        <v>4166.76</v>
      </c>
      <c r="N352" t="inlineStr">
        <is>
          <t>Paid</t>
        </is>
      </c>
      <c r="O352" t="inlineStr">
        <is>
          <t>False</t>
        </is>
      </c>
      <c r="P352" t="n">
        <v>30</v>
      </c>
      <c r="Q352">
        <f>VLOOKUP(D352,GL_Accounts!$A$2:$E$1048576,5,FALSE)</f>
        <v/>
      </c>
      <c r="R352">
        <f>VLOOKUP(D352,GL_Accounts!$A$2:$E$1048576,4,FALSE)</f>
        <v/>
      </c>
    </row>
    <row r="353">
      <c r="A353" t="inlineStr">
        <is>
          <t>INV200352</t>
        </is>
      </c>
      <c r="B353" t="n">
        <v>40</v>
      </c>
      <c r="C353" t="inlineStr">
        <is>
          <t>V0040</t>
        </is>
      </c>
      <c r="D353" t="n">
        <v>10</v>
      </c>
      <c r="E353" t="n">
        <v>62100</v>
      </c>
      <c r="F353" t="inlineStr">
        <is>
          <t>PO100269</t>
        </is>
      </c>
      <c r="G353" t="n">
        <v>20260305</v>
      </c>
      <c r="H353" t="inlineStr">
        <is>
          <t>2026-03-05</t>
        </is>
      </c>
      <c r="I353" t="n">
        <v>20260404</v>
      </c>
      <c r="J353" t="inlineStr">
        <is>
          <t>2026-04-04</t>
        </is>
      </c>
      <c r="K353" s="9" t="n">
        <v>1791.11</v>
      </c>
      <c r="L353" t="inlineStr">
        <is>
          <t>USD</t>
        </is>
      </c>
      <c r="M353" s="4" t="n">
        <v>1791.11</v>
      </c>
      <c r="N353" t="inlineStr">
        <is>
          <t>Paid</t>
        </is>
      </c>
      <c r="O353" t="inlineStr">
        <is>
          <t>False</t>
        </is>
      </c>
      <c r="P353" t="n">
        <v>30</v>
      </c>
      <c r="Q353">
        <f>VLOOKUP(D353,GL_Accounts!$A$2:$E$1048576,5,FALSE)</f>
        <v/>
      </c>
      <c r="R353">
        <f>VLOOKUP(D353,GL_Accounts!$A$2:$E$1048576,4,FALSE)</f>
        <v/>
      </c>
    </row>
    <row r="354">
      <c r="A354" t="inlineStr">
        <is>
          <t>INV200353</t>
        </is>
      </c>
      <c r="B354" t="n">
        <v>40</v>
      </c>
      <c r="C354" t="inlineStr">
        <is>
          <t>V0040</t>
        </is>
      </c>
      <c r="D354" t="n">
        <v>12</v>
      </c>
      <c r="E354" t="n">
        <v>62300</v>
      </c>
      <c r="F354" t="inlineStr">
        <is>
          <t>PO100270</t>
        </is>
      </c>
      <c r="G354" t="n">
        <v>20251023</v>
      </c>
      <c r="H354" t="inlineStr">
        <is>
          <t>2025-10-23</t>
        </is>
      </c>
      <c r="I354" t="n">
        <v>20251122</v>
      </c>
      <c r="J354" t="inlineStr">
        <is>
          <t>2025-11-22</t>
        </is>
      </c>
      <c r="K354" s="9" t="n">
        <v>836.37</v>
      </c>
      <c r="L354" t="inlineStr">
        <is>
          <t>USD</t>
        </is>
      </c>
      <c r="M354" s="4" t="n">
        <v>836.37</v>
      </c>
      <c r="N354" t="inlineStr">
        <is>
          <t>Paid</t>
        </is>
      </c>
      <c r="O354" t="inlineStr">
        <is>
          <t>False</t>
        </is>
      </c>
      <c r="P354" t="n">
        <v>30</v>
      </c>
      <c r="Q354">
        <f>VLOOKUP(D354,GL_Accounts!$A$2:$E$1048576,5,FALSE)</f>
        <v/>
      </c>
      <c r="R354">
        <f>VLOOKUP(D354,GL_Accounts!$A$2:$E$1048576,4,FALSE)</f>
        <v/>
      </c>
    </row>
    <row r="355">
      <c r="A355" t="inlineStr">
        <is>
          <t>INV200354</t>
        </is>
      </c>
      <c r="B355" t="n">
        <v>40</v>
      </c>
      <c r="C355" t="inlineStr">
        <is>
          <t>V0040</t>
        </is>
      </c>
      <c r="D355" t="n">
        <v>13</v>
      </c>
      <c r="E355" t="n">
        <v>62400</v>
      </c>
      <c r="F355" t="inlineStr">
        <is>
          <t>PO100270</t>
        </is>
      </c>
      <c r="G355" t="n">
        <v>20251101</v>
      </c>
      <c r="H355" t="inlineStr">
        <is>
          <t>2025-11-01</t>
        </is>
      </c>
      <c r="I355" t="n">
        <v>20251201</v>
      </c>
      <c r="J355" t="inlineStr">
        <is>
          <t>2025-12-01</t>
        </is>
      </c>
      <c r="K355" s="9" t="n">
        <v>1206.37</v>
      </c>
      <c r="L355" t="inlineStr">
        <is>
          <t>USD</t>
        </is>
      </c>
      <c r="M355" s="4" t="n">
        <v>1206.37</v>
      </c>
      <c r="N355" t="inlineStr">
        <is>
          <t>Unpaid</t>
        </is>
      </c>
      <c r="O355" t="inlineStr">
        <is>
          <t>False</t>
        </is>
      </c>
      <c r="P355" t="n">
        <v>30</v>
      </c>
      <c r="Q355">
        <f>VLOOKUP(D355,GL_Accounts!$A$2:$E$1048576,5,FALSE)</f>
        <v/>
      </c>
      <c r="R355">
        <f>VLOOKUP(D355,GL_Accounts!$A$2:$E$1048576,4,FALSE)</f>
        <v/>
      </c>
    </row>
    <row r="356">
      <c r="A356" t="inlineStr">
        <is>
          <t>INV200355</t>
        </is>
      </c>
      <c r="B356" t="n">
        <v>40</v>
      </c>
      <c r="C356" t="inlineStr">
        <is>
          <t>V0040</t>
        </is>
      </c>
      <c r="D356" t="n">
        <v>12</v>
      </c>
      <c r="E356" t="n">
        <v>62300</v>
      </c>
      <c r="F356" t="inlineStr">
        <is>
          <t>PO100270</t>
        </is>
      </c>
      <c r="G356" t="n">
        <v>20260103</v>
      </c>
      <c r="H356" t="inlineStr">
        <is>
          <t>2026-01-03</t>
        </is>
      </c>
      <c r="I356" t="n">
        <v>20260202</v>
      </c>
      <c r="J356" t="inlineStr">
        <is>
          <t>2026-02-02</t>
        </is>
      </c>
      <c r="K356" s="9" t="n">
        <v>1024.37</v>
      </c>
      <c r="L356" t="inlineStr">
        <is>
          <t>USD</t>
        </is>
      </c>
      <c r="M356" s="4" t="n">
        <v>1024.37</v>
      </c>
      <c r="N356" t="inlineStr">
        <is>
          <t>Paid</t>
        </is>
      </c>
      <c r="O356" t="inlineStr">
        <is>
          <t>False</t>
        </is>
      </c>
      <c r="P356" t="n">
        <v>30</v>
      </c>
      <c r="Q356">
        <f>VLOOKUP(D356,GL_Accounts!$A$2:$E$1048576,5,FALSE)</f>
        <v/>
      </c>
      <c r="R356">
        <f>VLOOKUP(D356,GL_Accounts!$A$2:$E$1048576,4,FALSE)</f>
        <v/>
      </c>
    </row>
    <row r="357">
      <c r="A357" t="inlineStr">
        <is>
          <t>INV200356</t>
        </is>
      </c>
      <c r="B357" t="n">
        <v>40</v>
      </c>
      <c r="C357" t="inlineStr">
        <is>
          <t>V0040</t>
        </is>
      </c>
      <c r="D357" t="n">
        <v>10</v>
      </c>
      <c r="E357" t="n">
        <v>62100</v>
      </c>
      <c r="F357" t="inlineStr">
        <is>
          <t>PO100272</t>
        </is>
      </c>
      <c r="G357" t="n">
        <v>20241205</v>
      </c>
      <c r="H357" t="inlineStr">
        <is>
          <t>2024-12-05</t>
        </is>
      </c>
      <c r="I357" t="n">
        <v>20250104</v>
      </c>
      <c r="J357" t="inlineStr">
        <is>
          <t>2025-01-04</t>
        </is>
      </c>
      <c r="K357" s="9" t="n">
        <v>1025.54</v>
      </c>
      <c r="L357" t="inlineStr">
        <is>
          <t>USD</t>
        </is>
      </c>
      <c r="M357" s="4" t="n">
        <v>1025.54</v>
      </c>
      <c r="N357" t="inlineStr">
        <is>
          <t>Paid</t>
        </is>
      </c>
      <c r="O357" t="inlineStr">
        <is>
          <t>False</t>
        </is>
      </c>
      <c r="P357" t="n">
        <v>30</v>
      </c>
      <c r="Q357">
        <f>VLOOKUP(D357,GL_Accounts!$A$2:$E$1048576,5,FALSE)</f>
        <v/>
      </c>
      <c r="R357">
        <f>VLOOKUP(D357,GL_Accounts!$A$2:$E$1048576,4,FALSE)</f>
        <v/>
      </c>
    </row>
    <row r="358">
      <c r="A358" t="inlineStr">
        <is>
          <t>INV200357</t>
        </is>
      </c>
      <c r="B358" t="n">
        <v>9</v>
      </c>
      <c r="C358" t="inlineStr">
        <is>
          <t>V0009</t>
        </is>
      </c>
      <c r="D358" t="n">
        <v>6</v>
      </c>
      <c r="E358" t="n">
        <v>61100</v>
      </c>
      <c r="F358" t="inlineStr">
        <is>
          <t>PO100273</t>
        </is>
      </c>
      <c r="G358" t="n">
        <v>20251121</v>
      </c>
      <c r="H358" t="inlineStr">
        <is>
          <t>2025-11-21</t>
        </is>
      </c>
      <c r="I358" t="n">
        <v>20251206</v>
      </c>
      <c r="J358" t="inlineStr">
        <is>
          <t>2025-12-06</t>
        </is>
      </c>
      <c r="K358" s="9" t="n">
        <v>6261.47</v>
      </c>
      <c r="L358" t="inlineStr">
        <is>
          <t>USD</t>
        </is>
      </c>
      <c r="M358" s="4" t="n">
        <v>6261.47</v>
      </c>
      <c r="N358" t="inlineStr">
        <is>
          <t>Unpaid</t>
        </is>
      </c>
      <c r="O358" t="inlineStr">
        <is>
          <t>False</t>
        </is>
      </c>
      <c r="P358" t="n">
        <v>15</v>
      </c>
      <c r="Q358">
        <f>VLOOKUP(D358,GL_Accounts!$A$2:$E$1048576,5,FALSE)</f>
        <v/>
      </c>
      <c r="R358">
        <f>VLOOKUP(D358,GL_Accounts!$A$2:$E$1048576,4,FALSE)</f>
        <v/>
      </c>
    </row>
    <row r="359">
      <c r="A359" t="inlineStr">
        <is>
          <t>INV200358</t>
        </is>
      </c>
      <c r="B359" t="n">
        <v>30</v>
      </c>
      <c r="C359" t="inlineStr">
        <is>
          <t>V0030</t>
        </is>
      </c>
      <c r="D359" t="n">
        <v>18</v>
      </c>
      <c r="E359" t="n">
        <v>64200</v>
      </c>
      <c r="F359" t="inlineStr">
        <is>
          <t>PO100275</t>
        </is>
      </c>
      <c r="G359" t="n">
        <v>20251118</v>
      </c>
      <c r="H359" t="inlineStr">
        <is>
          <t>2025-11-18</t>
        </is>
      </c>
      <c r="I359" t="n">
        <v>20251218</v>
      </c>
      <c r="J359" t="inlineStr">
        <is>
          <t>2025-12-18</t>
        </is>
      </c>
      <c r="K359" s="9" t="n">
        <v>25376.08</v>
      </c>
      <c r="L359" t="inlineStr">
        <is>
          <t>USD</t>
        </is>
      </c>
      <c r="M359" s="4" t="n">
        <v>25376.08</v>
      </c>
      <c r="N359" t="inlineStr">
        <is>
          <t>Paid</t>
        </is>
      </c>
      <c r="O359" t="inlineStr">
        <is>
          <t>False</t>
        </is>
      </c>
      <c r="P359" t="n">
        <v>30</v>
      </c>
      <c r="Q359">
        <f>VLOOKUP(D359,GL_Accounts!$A$2:$E$1048576,5,FALSE)</f>
        <v/>
      </c>
      <c r="R359">
        <f>VLOOKUP(D359,GL_Accounts!$A$2:$E$1048576,4,FALSE)</f>
        <v/>
      </c>
    </row>
    <row r="360">
      <c r="A360" t="inlineStr">
        <is>
          <t>INV200359</t>
        </is>
      </c>
      <c r="B360" t="n">
        <v>30</v>
      </c>
      <c r="C360" t="inlineStr">
        <is>
          <t>V0030</t>
        </is>
      </c>
      <c r="D360" t="n">
        <v>16</v>
      </c>
      <c r="E360" t="n">
        <v>63300</v>
      </c>
      <c r="F360" t="inlineStr">
        <is>
          <t>PO100275</t>
        </is>
      </c>
      <c r="G360" t="n">
        <v>20251208</v>
      </c>
      <c r="H360" t="inlineStr">
        <is>
          <t>2025-12-08</t>
        </is>
      </c>
      <c r="I360" t="n">
        <v>20260107</v>
      </c>
      <c r="J360" t="inlineStr">
        <is>
          <t>2026-01-07</t>
        </is>
      </c>
      <c r="K360" s="9" t="n">
        <v>20227.93</v>
      </c>
      <c r="L360" t="inlineStr">
        <is>
          <t>USD</t>
        </is>
      </c>
      <c r="M360" s="4" t="n">
        <v>20227.93</v>
      </c>
      <c r="N360" t="inlineStr">
        <is>
          <t>Paid</t>
        </is>
      </c>
      <c r="O360" t="inlineStr">
        <is>
          <t>False</t>
        </is>
      </c>
      <c r="P360" t="n">
        <v>30</v>
      </c>
      <c r="Q360">
        <f>VLOOKUP(D360,GL_Accounts!$A$2:$E$1048576,5,FALSE)</f>
        <v/>
      </c>
      <c r="R360">
        <f>VLOOKUP(D360,GL_Accounts!$A$2:$E$1048576,4,FALSE)</f>
        <v/>
      </c>
    </row>
    <row r="361">
      <c r="A361" t="inlineStr">
        <is>
          <t>INV200360</t>
        </is>
      </c>
      <c r="B361" t="n">
        <v>9</v>
      </c>
      <c r="C361" t="inlineStr">
        <is>
          <t>V0009</t>
        </is>
      </c>
      <c r="D361" t="n">
        <v>9</v>
      </c>
      <c r="E361" t="n">
        <v>61400</v>
      </c>
      <c r="F361" t="inlineStr">
        <is>
          <t>PO100276</t>
        </is>
      </c>
      <c r="G361" t="n">
        <v>20251231</v>
      </c>
      <c r="H361" t="inlineStr">
        <is>
          <t>2025-12-31</t>
        </is>
      </c>
      <c r="I361" t="n">
        <v>20260115</v>
      </c>
      <c r="J361" t="inlineStr">
        <is>
          <t>2026-01-15</t>
        </is>
      </c>
      <c r="K361" s="9" t="n">
        <v>2737.64</v>
      </c>
      <c r="L361" t="inlineStr">
        <is>
          <t>USD</t>
        </is>
      </c>
      <c r="M361" s="4" t="n">
        <v>2737.64</v>
      </c>
      <c r="N361" t="inlineStr">
        <is>
          <t>Paid</t>
        </is>
      </c>
      <c r="O361" t="inlineStr">
        <is>
          <t>False</t>
        </is>
      </c>
      <c r="P361" t="n">
        <v>15</v>
      </c>
      <c r="Q361">
        <f>VLOOKUP(D361,GL_Accounts!$A$2:$E$1048576,5,FALSE)</f>
        <v/>
      </c>
      <c r="R361">
        <f>VLOOKUP(D361,GL_Accounts!$A$2:$E$1048576,4,FALSE)</f>
        <v/>
      </c>
    </row>
    <row r="362">
      <c r="A362" t="inlineStr">
        <is>
          <t>INV200361</t>
        </is>
      </c>
      <c r="B362" t="n">
        <v>12</v>
      </c>
      <c r="C362" t="inlineStr">
        <is>
          <t>V0012</t>
        </is>
      </c>
      <c r="D362" t="n">
        <v>12</v>
      </c>
      <c r="E362" t="n">
        <v>62300</v>
      </c>
      <c r="F362" t="inlineStr">
        <is>
          <t>PO100278</t>
        </is>
      </c>
      <c r="G362" t="n">
        <v>20260413</v>
      </c>
      <c r="H362" t="inlineStr">
        <is>
          <t>2026-04-13</t>
        </is>
      </c>
      <c r="I362" t="n">
        <v>20260513</v>
      </c>
      <c r="J362" t="inlineStr">
        <is>
          <t>2026-05-13</t>
        </is>
      </c>
      <c r="K362" s="9" t="n">
        <v>1084.93</v>
      </c>
      <c r="L362" t="inlineStr">
        <is>
          <t>USD</t>
        </is>
      </c>
      <c r="M362" s="4" t="n">
        <v>1084.93</v>
      </c>
      <c r="N362" t="inlineStr">
        <is>
          <t>Paid</t>
        </is>
      </c>
      <c r="O362" t="inlineStr">
        <is>
          <t>False</t>
        </is>
      </c>
      <c r="P362" t="n">
        <v>30</v>
      </c>
      <c r="Q362">
        <f>VLOOKUP(D362,GL_Accounts!$A$2:$E$1048576,5,FALSE)</f>
        <v/>
      </c>
      <c r="R362">
        <f>VLOOKUP(D362,GL_Accounts!$A$2:$E$1048576,4,FALSE)</f>
        <v/>
      </c>
    </row>
    <row r="363">
      <c r="A363" t="inlineStr">
        <is>
          <t>INV200362</t>
        </is>
      </c>
      <c r="B363" t="n">
        <v>16</v>
      </c>
      <c r="C363" t="inlineStr">
        <is>
          <t>V0016</t>
        </is>
      </c>
      <c r="D363" t="n">
        <v>18</v>
      </c>
      <c r="E363" t="n">
        <v>64200</v>
      </c>
      <c r="F363" t="inlineStr">
        <is>
          <t>PO100279</t>
        </is>
      </c>
      <c r="G363" t="n">
        <v>20260429</v>
      </c>
      <c r="H363" t="inlineStr">
        <is>
          <t>2026-04-29</t>
        </is>
      </c>
      <c r="I363" t="n">
        <v>20260529</v>
      </c>
      <c r="J363" t="inlineStr">
        <is>
          <t>2026-05-29</t>
        </is>
      </c>
      <c r="K363" s="9" t="n">
        <v>14026.07</v>
      </c>
      <c r="L363" t="inlineStr">
        <is>
          <t>USD</t>
        </is>
      </c>
      <c r="M363" s="4" t="n">
        <v>14026.07</v>
      </c>
      <c r="N363" t="inlineStr">
        <is>
          <t>Paid</t>
        </is>
      </c>
      <c r="O363" t="inlineStr">
        <is>
          <t>False</t>
        </is>
      </c>
      <c r="P363" t="n">
        <v>30</v>
      </c>
      <c r="Q363">
        <f>VLOOKUP(D363,GL_Accounts!$A$2:$E$1048576,5,FALSE)</f>
        <v/>
      </c>
      <c r="R363">
        <f>VLOOKUP(D363,GL_Accounts!$A$2:$E$1048576,4,FALSE)</f>
        <v/>
      </c>
    </row>
    <row r="364">
      <c r="A364" t="inlineStr">
        <is>
          <t>INV200363</t>
        </is>
      </c>
      <c r="B364" t="n">
        <v>16</v>
      </c>
      <c r="C364" t="inlineStr">
        <is>
          <t>V0016</t>
        </is>
      </c>
      <c r="D364" t="n">
        <v>18</v>
      </c>
      <c r="E364" t="n">
        <v>64200</v>
      </c>
      <c r="F364" t="inlineStr">
        <is>
          <t>PO100279</t>
        </is>
      </c>
      <c r="G364" t="n">
        <v>20260531</v>
      </c>
      <c r="H364" t="inlineStr">
        <is>
          <t>2026-05-31</t>
        </is>
      </c>
      <c r="I364" t="n">
        <v>20260630</v>
      </c>
      <c r="J364" t="inlineStr">
        <is>
          <t>2026-06-30</t>
        </is>
      </c>
      <c r="K364" s="9" t="n">
        <v>4914.88</v>
      </c>
      <c r="L364" t="inlineStr">
        <is>
          <t>USD</t>
        </is>
      </c>
      <c r="M364" s="4" t="n">
        <v>4914.88</v>
      </c>
      <c r="N364" t="inlineStr">
        <is>
          <t>Paid</t>
        </is>
      </c>
      <c r="O364" t="inlineStr">
        <is>
          <t>False</t>
        </is>
      </c>
      <c r="P364" t="n">
        <v>30</v>
      </c>
      <c r="Q364">
        <f>VLOOKUP(D364,GL_Accounts!$A$2:$E$1048576,5,FALSE)</f>
        <v/>
      </c>
      <c r="R364">
        <f>VLOOKUP(D364,GL_Accounts!$A$2:$E$1048576,4,FALSE)</f>
        <v/>
      </c>
    </row>
    <row r="365">
      <c r="A365" t="inlineStr">
        <is>
          <t>INV200364</t>
        </is>
      </c>
      <c r="B365" t="n">
        <v>25</v>
      </c>
      <c r="C365" t="inlineStr">
        <is>
          <t>V0025</t>
        </is>
      </c>
      <c r="D365" t="n">
        <v>9</v>
      </c>
      <c r="E365" t="n">
        <v>61400</v>
      </c>
      <c r="F365" t="inlineStr">
        <is>
          <t>PO100280</t>
        </is>
      </c>
      <c r="G365" t="n">
        <v>20260302</v>
      </c>
      <c r="H365" t="inlineStr">
        <is>
          <t>2026-03-02</t>
        </is>
      </c>
      <c r="I365" t="n">
        <v>20260401</v>
      </c>
      <c r="J365" t="inlineStr">
        <is>
          <t>2026-04-01</t>
        </is>
      </c>
      <c r="K365" s="9" t="n">
        <v>929.48</v>
      </c>
      <c r="L365" t="inlineStr">
        <is>
          <t>GBP</t>
        </is>
      </c>
      <c r="M365" s="4" t="n">
        <v>1180.44</v>
      </c>
      <c r="N365" t="inlineStr">
        <is>
          <t>Paid</t>
        </is>
      </c>
      <c r="O365" t="inlineStr">
        <is>
          <t>False</t>
        </is>
      </c>
      <c r="P365" t="n">
        <v>30</v>
      </c>
      <c r="Q365">
        <f>VLOOKUP(D365,GL_Accounts!$A$2:$E$1048576,5,FALSE)</f>
        <v/>
      </c>
      <c r="R365">
        <f>VLOOKUP(D365,GL_Accounts!$A$2:$E$1048576,4,FALSE)</f>
        <v/>
      </c>
    </row>
    <row r="366">
      <c r="A366" t="inlineStr">
        <is>
          <t>INV200365</t>
        </is>
      </c>
      <c r="B366" t="n">
        <v>25</v>
      </c>
      <c r="C366" t="inlineStr">
        <is>
          <t>V0025</t>
        </is>
      </c>
      <c r="D366" t="n">
        <v>7</v>
      </c>
      <c r="E366" t="n">
        <v>61200</v>
      </c>
      <c r="F366" t="inlineStr">
        <is>
          <t>PO100280</t>
        </is>
      </c>
      <c r="G366" t="n">
        <v>20260423</v>
      </c>
      <c r="H366" t="inlineStr">
        <is>
          <t>2026-04-23</t>
        </is>
      </c>
      <c r="I366" t="n">
        <v>20260523</v>
      </c>
      <c r="J366" t="inlineStr">
        <is>
          <t>2026-05-23</t>
        </is>
      </c>
      <c r="K366" s="9" t="n">
        <v>2642.16</v>
      </c>
      <c r="L366" t="inlineStr">
        <is>
          <t>GBP</t>
        </is>
      </c>
      <c r="M366" s="4" t="n">
        <v>3355.54</v>
      </c>
      <c r="N366" t="inlineStr">
        <is>
          <t>Unpaid</t>
        </is>
      </c>
      <c r="O366" t="inlineStr">
        <is>
          <t>False</t>
        </is>
      </c>
      <c r="P366" t="n">
        <v>30</v>
      </c>
      <c r="Q366">
        <f>VLOOKUP(D366,GL_Accounts!$A$2:$E$1048576,5,FALSE)</f>
        <v/>
      </c>
      <c r="R366">
        <f>VLOOKUP(D366,GL_Accounts!$A$2:$E$1048576,4,FALSE)</f>
        <v/>
      </c>
    </row>
    <row r="367">
      <c r="A367" t="inlineStr">
        <is>
          <t>INV200366</t>
        </is>
      </c>
      <c r="B367" t="n">
        <v>40</v>
      </c>
      <c r="C367" t="inlineStr">
        <is>
          <t>V0040</t>
        </is>
      </c>
      <c r="D367" t="n">
        <v>13</v>
      </c>
      <c r="E367" t="n">
        <v>62400</v>
      </c>
      <c r="F367" t="inlineStr">
        <is>
          <t>PO100281</t>
        </is>
      </c>
      <c r="G367" t="n">
        <v>20251031</v>
      </c>
      <c r="H367" t="inlineStr">
        <is>
          <t>2025-10-31</t>
        </is>
      </c>
      <c r="I367" t="n">
        <v>20251130</v>
      </c>
      <c r="J367" t="inlineStr">
        <is>
          <t>2025-11-30</t>
        </is>
      </c>
      <c r="K367" s="9" t="n">
        <v>661</v>
      </c>
      <c r="L367" t="inlineStr">
        <is>
          <t>USD</t>
        </is>
      </c>
      <c r="M367" s="4" t="n">
        <v>661</v>
      </c>
      <c r="N367" t="inlineStr">
        <is>
          <t>Paid</t>
        </is>
      </c>
      <c r="O367" t="inlineStr">
        <is>
          <t>False</t>
        </is>
      </c>
      <c r="P367" t="n">
        <v>30</v>
      </c>
      <c r="Q367">
        <f>VLOOKUP(D367,GL_Accounts!$A$2:$E$1048576,5,FALSE)</f>
        <v/>
      </c>
      <c r="R367">
        <f>VLOOKUP(D367,GL_Accounts!$A$2:$E$1048576,4,FALSE)</f>
        <v/>
      </c>
    </row>
    <row r="368">
      <c r="A368" t="inlineStr">
        <is>
          <t>INV200367</t>
        </is>
      </c>
      <c r="B368" t="n">
        <v>20</v>
      </c>
      <c r="C368" t="inlineStr">
        <is>
          <t>V0020</t>
        </is>
      </c>
      <c r="D368" t="n">
        <v>8</v>
      </c>
      <c r="E368" t="n">
        <v>61300</v>
      </c>
      <c r="F368" t="inlineStr">
        <is>
          <t>PO100283</t>
        </is>
      </c>
      <c r="G368" t="n">
        <v>20250829</v>
      </c>
      <c r="H368" t="inlineStr">
        <is>
          <t>2025-08-29</t>
        </is>
      </c>
      <c r="I368" t="n">
        <v>20250913</v>
      </c>
      <c r="J368" t="inlineStr">
        <is>
          <t>2025-09-13</t>
        </is>
      </c>
      <c r="K368" s="9" t="n">
        <v>4988.4</v>
      </c>
      <c r="L368" t="inlineStr">
        <is>
          <t>USD</t>
        </is>
      </c>
      <c r="M368" s="4" t="n">
        <v>4988.4</v>
      </c>
      <c r="N368" t="inlineStr">
        <is>
          <t>Paid</t>
        </is>
      </c>
      <c r="O368" t="inlineStr">
        <is>
          <t>False</t>
        </is>
      </c>
      <c r="P368" t="n">
        <v>15</v>
      </c>
      <c r="Q368">
        <f>VLOOKUP(D368,GL_Accounts!$A$2:$E$1048576,5,FALSE)</f>
        <v/>
      </c>
      <c r="R368">
        <f>VLOOKUP(D368,GL_Accounts!$A$2:$E$1048576,4,FALSE)</f>
        <v/>
      </c>
    </row>
    <row r="369">
      <c r="A369" t="inlineStr">
        <is>
          <t>INV200368</t>
        </is>
      </c>
      <c r="B369" t="n">
        <v>9</v>
      </c>
      <c r="C369" t="inlineStr">
        <is>
          <t>V0009</t>
        </is>
      </c>
      <c r="D369" t="n">
        <v>6</v>
      </c>
      <c r="E369" t="n">
        <v>61100</v>
      </c>
      <c r="F369" t="inlineStr">
        <is>
          <t>PO100284</t>
        </is>
      </c>
      <c r="G369" t="n">
        <v>20241026</v>
      </c>
      <c r="H369" t="inlineStr">
        <is>
          <t>2024-10-26</t>
        </is>
      </c>
      <c r="I369" t="n">
        <v>20241110</v>
      </c>
      <c r="J369" t="inlineStr">
        <is>
          <t>2024-11-10</t>
        </is>
      </c>
      <c r="K369" s="9" t="n">
        <v>6707.21</v>
      </c>
      <c r="L369" t="inlineStr">
        <is>
          <t>USD</t>
        </is>
      </c>
      <c r="M369" s="4" t="n">
        <v>6707.21</v>
      </c>
      <c r="N369" t="inlineStr">
        <is>
          <t>Paid</t>
        </is>
      </c>
      <c r="O369" t="inlineStr">
        <is>
          <t>False</t>
        </is>
      </c>
      <c r="P369" t="n">
        <v>15</v>
      </c>
      <c r="Q369">
        <f>VLOOKUP(D369,GL_Accounts!$A$2:$E$1048576,5,FALSE)</f>
        <v/>
      </c>
      <c r="R369">
        <f>VLOOKUP(D369,GL_Accounts!$A$2:$E$1048576,4,FALSE)</f>
        <v/>
      </c>
    </row>
    <row r="370">
      <c r="A370" t="inlineStr">
        <is>
          <t>INV200369</t>
        </is>
      </c>
      <c r="B370" t="n">
        <v>9</v>
      </c>
      <c r="C370" t="inlineStr">
        <is>
          <t>V0009</t>
        </is>
      </c>
      <c r="D370" t="n">
        <v>8</v>
      </c>
      <c r="E370" t="n">
        <v>61300</v>
      </c>
      <c r="F370" t="inlineStr">
        <is>
          <t>PO100284</t>
        </is>
      </c>
      <c r="G370" t="n">
        <v>20241126</v>
      </c>
      <c r="H370" t="inlineStr">
        <is>
          <t>2024-11-26</t>
        </is>
      </c>
      <c r="I370" t="n">
        <v>20241211</v>
      </c>
      <c r="J370" t="inlineStr">
        <is>
          <t>2024-12-11</t>
        </is>
      </c>
      <c r="K370" s="9" t="n">
        <v>1670.85</v>
      </c>
      <c r="L370" t="inlineStr">
        <is>
          <t>USD</t>
        </is>
      </c>
      <c r="M370" s="4" t="n">
        <v>1670.85</v>
      </c>
      <c r="N370" t="inlineStr">
        <is>
          <t>Paid</t>
        </is>
      </c>
      <c r="O370" t="inlineStr">
        <is>
          <t>False</t>
        </is>
      </c>
      <c r="P370" t="n">
        <v>15</v>
      </c>
      <c r="Q370">
        <f>VLOOKUP(D370,GL_Accounts!$A$2:$E$1048576,5,FALSE)</f>
        <v/>
      </c>
      <c r="R370">
        <f>VLOOKUP(D370,GL_Accounts!$A$2:$E$1048576,4,FALSE)</f>
        <v/>
      </c>
    </row>
    <row r="371">
      <c r="A371" t="inlineStr">
        <is>
          <t>INV200370</t>
        </is>
      </c>
      <c r="B371" t="n">
        <v>9</v>
      </c>
      <c r="C371" t="inlineStr">
        <is>
          <t>V0009</t>
        </is>
      </c>
      <c r="D371" t="n">
        <v>6</v>
      </c>
      <c r="E371" t="n">
        <v>61100</v>
      </c>
      <c r="F371" t="inlineStr">
        <is>
          <t>PO100284</t>
        </is>
      </c>
      <c r="G371" t="n">
        <v>20241217</v>
      </c>
      <c r="H371" t="inlineStr">
        <is>
          <t>2024-12-17</t>
        </is>
      </c>
      <c r="I371" t="n">
        <v>20250101</v>
      </c>
      <c r="J371" t="inlineStr">
        <is>
          <t>2025-01-01</t>
        </is>
      </c>
      <c r="K371" s="9" t="n">
        <v>2783.18</v>
      </c>
      <c r="L371" t="inlineStr">
        <is>
          <t>USD</t>
        </is>
      </c>
      <c r="M371" s="4" t="n">
        <v>2783.18</v>
      </c>
      <c r="N371" t="inlineStr">
        <is>
          <t>Paid</t>
        </is>
      </c>
      <c r="O371" t="inlineStr">
        <is>
          <t>False</t>
        </is>
      </c>
      <c r="P371" t="n">
        <v>15</v>
      </c>
      <c r="Q371">
        <f>VLOOKUP(D371,GL_Accounts!$A$2:$E$1048576,5,FALSE)</f>
        <v/>
      </c>
      <c r="R371">
        <f>VLOOKUP(D371,GL_Accounts!$A$2:$E$1048576,4,FALSE)</f>
        <v/>
      </c>
    </row>
    <row r="372">
      <c r="A372" t="inlineStr">
        <is>
          <t>INV200371</t>
        </is>
      </c>
      <c r="B372" t="n">
        <v>9</v>
      </c>
      <c r="C372" t="inlineStr">
        <is>
          <t>V0009</t>
        </is>
      </c>
      <c r="D372" t="n">
        <v>9</v>
      </c>
      <c r="E372" t="n">
        <v>61400</v>
      </c>
      <c r="F372" t="inlineStr">
        <is>
          <t>PO100285</t>
        </is>
      </c>
      <c r="G372" t="n">
        <v>20260409</v>
      </c>
      <c r="H372" t="inlineStr">
        <is>
          <t>2026-04-09</t>
        </is>
      </c>
      <c r="I372" t="n">
        <v>20260424</v>
      </c>
      <c r="J372" t="inlineStr">
        <is>
          <t>2026-04-24</t>
        </is>
      </c>
      <c r="K372" s="9" t="n">
        <v>5026.38</v>
      </c>
      <c r="L372" t="inlineStr">
        <is>
          <t>USD</t>
        </is>
      </c>
      <c r="M372" s="4" t="n">
        <v>5026.38</v>
      </c>
      <c r="N372" t="inlineStr">
        <is>
          <t>Paid</t>
        </is>
      </c>
      <c r="O372" t="inlineStr">
        <is>
          <t>False</t>
        </is>
      </c>
      <c r="P372" t="n">
        <v>15</v>
      </c>
      <c r="Q372">
        <f>VLOOKUP(D372,GL_Accounts!$A$2:$E$1048576,5,FALSE)</f>
        <v/>
      </c>
      <c r="R372">
        <f>VLOOKUP(D372,GL_Accounts!$A$2:$E$1048576,4,FALSE)</f>
        <v/>
      </c>
    </row>
    <row r="373">
      <c r="A373" t="inlineStr">
        <is>
          <t>INV200372</t>
        </is>
      </c>
      <c r="B373" t="n">
        <v>9</v>
      </c>
      <c r="C373" t="inlineStr">
        <is>
          <t>V0009</t>
        </is>
      </c>
      <c r="D373" t="n">
        <v>6</v>
      </c>
      <c r="E373" t="n">
        <v>61100</v>
      </c>
      <c r="F373" t="inlineStr">
        <is>
          <t>PO100286</t>
        </is>
      </c>
      <c r="G373" t="n">
        <v>20251223</v>
      </c>
      <c r="H373" t="inlineStr">
        <is>
          <t>2025-12-23</t>
        </is>
      </c>
      <c r="I373" t="n">
        <v>20260107</v>
      </c>
      <c r="J373" t="inlineStr">
        <is>
          <t>2026-01-07</t>
        </is>
      </c>
      <c r="K373" s="9" t="n">
        <v>8347.08</v>
      </c>
      <c r="L373" t="inlineStr">
        <is>
          <t>USD</t>
        </is>
      </c>
      <c r="M373" s="4" t="n">
        <v>8347.08</v>
      </c>
      <c r="N373" t="inlineStr">
        <is>
          <t>Paid</t>
        </is>
      </c>
      <c r="O373" t="inlineStr">
        <is>
          <t>False</t>
        </is>
      </c>
      <c r="P373" t="n">
        <v>15</v>
      </c>
      <c r="Q373">
        <f>VLOOKUP(D373,GL_Accounts!$A$2:$E$1048576,5,FALSE)</f>
        <v/>
      </c>
      <c r="R373">
        <f>VLOOKUP(D373,GL_Accounts!$A$2:$E$1048576,4,FALSE)</f>
        <v/>
      </c>
    </row>
    <row r="374">
      <c r="A374" t="inlineStr">
        <is>
          <t>INV200373</t>
        </is>
      </c>
      <c r="B374" t="n">
        <v>9</v>
      </c>
      <c r="C374" t="inlineStr">
        <is>
          <t>V0009</t>
        </is>
      </c>
      <c r="D374" t="n">
        <v>6</v>
      </c>
      <c r="E374" t="n">
        <v>61100</v>
      </c>
      <c r="F374" t="inlineStr">
        <is>
          <t>PO100286</t>
        </is>
      </c>
      <c r="G374" t="n">
        <v>20260114</v>
      </c>
      <c r="H374" t="inlineStr">
        <is>
          <t>2026-01-14</t>
        </is>
      </c>
      <c r="I374" t="n">
        <v>20260129</v>
      </c>
      <c r="J374" t="inlineStr">
        <is>
          <t>2026-01-29</t>
        </is>
      </c>
      <c r="K374" s="9" t="n">
        <v>9391.309999999999</v>
      </c>
      <c r="L374" t="inlineStr">
        <is>
          <t>USD</t>
        </is>
      </c>
      <c r="M374" s="4" t="n">
        <v>9391.309999999999</v>
      </c>
      <c r="N374" t="inlineStr">
        <is>
          <t>Paid</t>
        </is>
      </c>
      <c r="O374" t="inlineStr">
        <is>
          <t>False</t>
        </is>
      </c>
      <c r="P374" t="n">
        <v>15</v>
      </c>
      <c r="Q374">
        <f>VLOOKUP(D374,GL_Accounts!$A$2:$E$1048576,5,FALSE)</f>
        <v/>
      </c>
      <c r="R374">
        <f>VLOOKUP(D374,GL_Accounts!$A$2:$E$1048576,4,FALSE)</f>
        <v/>
      </c>
    </row>
    <row r="375">
      <c r="A375" t="inlineStr">
        <is>
          <t>INV200374</t>
        </is>
      </c>
      <c r="B375" t="n">
        <v>12</v>
      </c>
      <c r="C375" t="inlineStr">
        <is>
          <t>V0012</t>
        </is>
      </c>
      <c r="D375" t="n">
        <v>12</v>
      </c>
      <c r="E375" t="n">
        <v>62300</v>
      </c>
      <c r="F375" t="inlineStr">
        <is>
          <t>PO100287</t>
        </is>
      </c>
      <c r="G375" t="n">
        <v>20241118</v>
      </c>
      <c r="H375" t="inlineStr">
        <is>
          <t>2024-11-18</t>
        </is>
      </c>
      <c r="I375" t="n">
        <v>20241218</v>
      </c>
      <c r="J375" t="inlineStr">
        <is>
          <t>2024-12-18</t>
        </is>
      </c>
      <c r="K375" s="9" t="n">
        <v>664.51</v>
      </c>
      <c r="L375" t="inlineStr">
        <is>
          <t>USD</t>
        </is>
      </c>
      <c r="M375" s="4" t="n">
        <v>664.51</v>
      </c>
      <c r="N375" t="inlineStr">
        <is>
          <t>Paid</t>
        </is>
      </c>
      <c r="O375" t="inlineStr">
        <is>
          <t>False</t>
        </is>
      </c>
      <c r="P375" t="n">
        <v>30</v>
      </c>
      <c r="Q375">
        <f>VLOOKUP(D375,GL_Accounts!$A$2:$E$1048576,5,FALSE)</f>
        <v/>
      </c>
      <c r="R375">
        <f>VLOOKUP(D375,GL_Accounts!$A$2:$E$1048576,4,FALSE)</f>
        <v/>
      </c>
    </row>
    <row r="376">
      <c r="A376" t="inlineStr">
        <is>
          <t>INV200375</t>
        </is>
      </c>
      <c r="B376" t="n">
        <v>47</v>
      </c>
      <c r="C376" t="inlineStr">
        <is>
          <t>V0047</t>
        </is>
      </c>
      <c r="D376" t="n">
        <v>15</v>
      </c>
      <c r="E376" t="n">
        <v>63200</v>
      </c>
      <c r="F376" t="inlineStr">
        <is>
          <t>PO100288</t>
        </is>
      </c>
      <c r="G376" t="n">
        <v>20251019</v>
      </c>
      <c r="H376" t="inlineStr">
        <is>
          <t>2025-10-19</t>
        </is>
      </c>
      <c r="I376" t="n">
        <v>20251118</v>
      </c>
      <c r="J376" t="inlineStr">
        <is>
          <t>2025-11-18</t>
        </is>
      </c>
      <c r="K376" s="9" t="n">
        <v>759.4400000000001</v>
      </c>
      <c r="L376" t="inlineStr">
        <is>
          <t>USD</t>
        </is>
      </c>
      <c r="M376" s="4" t="n">
        <v>759.4400000000001</v>
      </c>
      <c r="N376" t="inlineStr">
        <is>
          <t>Paid</t>
        </is>
      </c>
      <c r="O376" t="inlineStr">
        <is>
          <t>False</t>
        </is>
      </c>
      <c r="P376" t="n">
        <v>30</v>
      </c>
      <c r="Q376">
        <f>VLOOKUP(D376,GL_Accounts!$A$2:$E$1048576,5,FALSE)</f>
        <v/>
      </c>
      <c r="R376">
        <f>VLOOKUP(D376,GL_Accounts!$A$2:$E$1048576,4,FALSE)</f>
        <v/>
      </c>
    </row>
    <row r="377">
      <c r="A377" t="inlineStr">
        <is>
          <t>INV200376</t>
        </is>
      </c>
      <c r="B377" t="n">
        <v>47</v>
      </c>
      <c r="C377" t="inlineStr">
        <is>
          <t>V0047</t>
        </is>
      </c>
      <c r="D377" t="n">
        <v>20</v>
      </c>
      <c r="E377" t="n">
        <v>65100</v>
      </c>
      <c r="F377" t="inlineStr">
        <is>
          <t>PO100288</t>
        </is>
      </c>
      <c r="G377" t="n">
        <v>20251106</v>
      </c>
      <c r="H377" t="inlineStr">
        <is>
          <t>2025-11-06</t>
        </is>
      </c>
      <c r="I377" t="n">
        <v>20251206</v>
      </c>
      <c r="J377" t="inlineStr">
        <is>
          <t>2025-12-06</t>
        </is>
      </c>
      <c r="K377" s="9" t="n">
        <v>359.84</v>
      </c>
      <c r="L377" t="inlineStr">
        <is>
          <t>USD</t>
        </is>
      </c>
      <c r="M377" s="4" t="n">
        <v>359.84</v>
      </c>
      <c r="N377" t="inlineStr">
        <is>
          <t>Unpaid</t>
        </is>
      </c>
      <c r="O377" t="inlineStr">
        <is>
          <t>False</t>
        </is>
      </c>
      <c r="P377" t="n">
        <v>30</v>
      </c>
      <c r="Q377">
        <f>VLOOKUP(D377,GL_Accounts!$A$2:$E$1048576,5,FALSE)</f>
        <v/>
      </c>
      <c r="R377">
        <f>VLOOKUP(D377,GL_Accounts!$A$2:$E$1048576,4,FALSE)</f>
        <v/>
      </c>
    </row>
    <row r="378">
      <c r="A378" t="inlineStr">
        <is>
          <t>INV200377</t>
        </is>
      </c>
      <c r="B378" t="n">
        <v>42</v>
      </c>
      <c r="C378" t="inlineStr">
        <is>
          <t>V0042</t>
        </is>
      </c>
      <c r="D378" t="n">
        <v>18</v>
      </c>
      <c r="E378" t="n">
        <v>64200</v>
      </c>
      <c r="F378" t="inlineStr">
        <is>
          <t>PO100289</t>
        </is>
      </c>
      <c r="G378" t="n">
        <v>20250206</v>
      </c>
      <c r="H378" t="inlineStr">
        <is>
          <t>2025-02-06</t>
        </is>
      </c>
      <c r="I378" t="n">
        <v>20250323</v>
      </c>
      <c r="J378" t="inlineStr">
        <is>
          <t>2025-03-23</t>
        </is>
      </c>
      <c r="K378" s="9" t="n">
        <v>8841.209999999999</v>
      </c>
      <c r="L378" t="inlineStr">
        <is>
          <t>USD</t>
        </is>
      </c>
      <c r="M378" s="4" t="n">
        <v>8841.209999999999</v>
      </c>
      <c r="N378" t="inlineStr">
        <is>
          <t>Paid</t>
        </is>
      </c>
      <c r="O378" t="inlineStr">
        <is>
          <t>False</t>
        </is>
      </c>
      <c r="P378" t="n">
        <v>45</v>
      </c>
      <c r="Q378">
        <f>VLOOKUP(D378,GL_Accounts!$A$2:$E$1048576,5,FALSE)</f>
        <v/>
      </c>
      <c r="R378">
        <f>VLOOKUP(D378,GL_Accounts!$A$2:$E$1048576,4,FALSE)</f>
        <v/>
      </c>
    </row>
    <row r="379">
      <c r="A379" t="inlineStr">
        <is>
          <t>INV200378</t>
        </is>
      </c>
      <c r="B379" t="n">
        <v>25</v>
      </c>
      <c r="C379" t="inlineStr">
        <is>
          <t>V0025</t>
        </is>
      </c>
      <c r="D379" t="n">
        <v>7</v>
      </c>
      <c r="E379" t="n">
        <v>61200</v>
      </c>
      <c r="F379" t="inlineStr">
        <is>
          <t>PO100290</t>
        </is>
      </c>
      <c r="G379" t="n">
        <v>20251224</v>
      </c>
      <c r="H379" t="inlineStr">
        <is>
          <t>2025-12-24</t>
        </is>
      </c>
      <c r="I379" t="n">
        <v>20260123</v>
      </c>
      <c r="J379" t="inlineStr">
        <is>
          <t>2026-01-23</t>
        </is>
      </c>
      <c r="K379" s="9" t="n">
        <v>1284.9</v>
      </c>
      <c r="L379" t="inlineStr">
        <is>
          <t>GBP</t>
        </is>
      </c>
      <c r="M379" s="4" t="n">
        <v>1631.82</v>
      </c>
      <c r="N379" t="inlineStr">
        <is>
          <t>Paid</t>
        </is>
      </c>
      <c r="O379" t="inlineStr">
        <is>
          <t>False</t>
        </is>
      </c>
      <c r="P379" t="n">
        <v>30</v>
      </c>
      <c r="Q379">
        <f>VLOOKUP(D379,GL_Accounts!$A$2:$E$1048576,5,FALSE)</f>
        <v/>
      </c>
      <c r="R379">
        <f>VLOOKUP(D379,GL_Accounts!$A$2:$E$1048576,4,FALSE)</f>
        <v/>
      </c>
    </row>
    <row r="380">
      <c r="A380" t="inlineStr">
        <is>
          <t>INV200379</t>
        </is>
      </c>
      <c r="B380" t="n">
        <v>25</v>
      </c>
      <c r="C380" t="inlineStr">
        <is>
          <t>V0025</t>
        </is>
      </c>
      <c r="D380" t="n">
        <v>9</v>
      </c>
      <c r="E380" t="n">
        <v>61400</v>
      </c>
      <c r="F380" t="inlineStr">
        <is>
          <t>PO100290</t>
        </is>
      </c>
      <c r="G380" t="n">
        <v>20260115</v>
      </c>
      <c r="H380" t="inlineStr">
        <is>
          <t>2026-01-15</t>
        </is>
      </c>
      <c r="I380" t="n">
        <v>20260214</v>
      </c>
      <c r="J380" t="inlineStr">
        <is>
          <t>2026-02-14</t>
        </is>
      </c>
      <c r="K380" s="9" t="n">
        <v>4751.06</v>
      </c>
      <c r="L380" t="inlineStr">
        <is>
          <t>GBP</t>
        </is>
      </c>
      <c r="M380" s="4" t="n">
        <v>6033.85</v>
      </c>
      <c r="N380" t="inlineStr">
        <is>
          <t>Paid</t>
        </is>
      </c>
      <c r="O380" t="inlineStr">
        <is>
          <t>False</t>
        </is>
      </c>
      <c r="P380" t="n">
        <v>30</v>
      </c>
      <c r="Q380">
        <f>VLOOKUP(D380,GL_Accounts!$A$2:$E$1048576,5,FALSE)</f>
        <v/>
      </c>
      <c r="R380">
        <f>VLOOKUP(D380,GL_Accounts!$A$2:$E$1048576,4,FALSE)</f>
        <v/>
      </c>
    </row>
    <row r="381">
      <c r="A381" t="inlineStr">
        <is>
          <t>INV200380</t>
        </is>
      </c>
      <c r="B381" t="n">
        <v>32</v>
      </c>
      <c r="C381" t="inlineStr">
        <is>
          <t>V0032</t>
        </is>
      </c>
      <c r="D381" t="n">
        <v>6</v>
      </c>
      <c r="E381" t="n">
        <v>61100</v>
      </c>
      <c r="F381" t="inlineStr">
        <is>
          <t>PO100291</t>
        </is>
      </c>
      <c r="G381" t="n">
        <v>20250113</v>
      </c>
      <c r="H381" t="inlineStr">
        <is>
          <t>2025-01-13</t>
        </is>
      </c>
      <c r="I381" t="n">
        <v>20250227</v>
      </c>
      <c r="J381" t="inlineStr">
        <is>
          <t>2025-02-27</t>
        </is>
      </c>
      <c r="K381" s="9" t="n">
        <v>2755.27</v>
      </c>
      <c r="L381" t="inlineStr">
        <is>
          <t>USD</t>
        </is>
      </c>
      <c r="M381" s="4" t="n">
        <v>2755.27</v>
      </c>
      <c r="N381" t="inlineStr">
        <is>
          <t>Paid</t>
        </is>
      </c>
      <c r="O381" t="inlineStr">
        <is>
          <t>False</t>
        </is>
      </c>
      <c r="P381" t="n">
        <v>45</v>
      </c>
      <c r="Q381">
        <f>VLOOKUP(D381,GL_Accounts!$A$2:$E$1048576,5,FALSE)</f>
        <v/>
      </c>
      <c r="R381">
        <f>VLOOKUP(D381,GL_Accounts!$A$2:$E$1048576,4,FALSE)</f>
        <v/>
      </c>
    </row>
    <row r="382">
      <c r="A382" t="inlineStr">
        <is>
          <t>INV200381</t>
        </is>
      </c>
      <c r="B382" t="n">
        <v>41</v>
      </c>
      <c r="C382" t="inlineStr">
        <is>
          <t>V0041</t>
        </is>
      </c>
      <c r="D382" t="n">
        <v>3</v>
      </c>
      <c r="E382" t="n">
        <v>60120</v>
      </c>
      <c r="F382" t="inlineStr">
        <is>
          <t>PO100292</t>
        </is>
      </c>
      <c r="G382" t="n">
        <v>20251202</v>
      </c>
      <c r="H382" t="inlineStr">
        <is>
          <t>2025-12-02</t>
        </is>
      </c>
      <c r="I382" t="n">
        <v>20260101</v>
      </c>
      <c r="J382" t="inlineStr">
        <is>
          <t>2026-01-01</t>
        </is>
      </c>
      <c r="K382" s="9" t="n">
        <v>5834.92</v>
      </c>
      <c r="L382" t="inlineStr">
        <is>
          <t>USD</t>
        </is>
      </c>
      <c r="M382" s="4" t="n">
        <v>5834.92</v>
      </c>
      <c r="N382" t="inlineStr">
        <is>
          <t>Paid</t>
        </is>
      </c>
      <c r="O382" t="inlineStr">
        <is>
          <t>False</t>
        </is>
      </c>
      <c r="P382" t="n">
        <v>30</v>
      </c>
      <c r="Q382">
        <f>VLOOKUP(D382,GL_Accounts!$A$2:$E$1048576,5,FALSE)</f>
        <v/>
      </c>
      <c r="R382">
        <f>VLOOKUP(D382,GL_Accounts!$A$2:$E$1048576,4,FALSE)</f>
        <v/>
      </c>
    </row>
    <row r="383">
      <c r="A383" t="inlineStr">
        <is>
          <t>INV200382</t>
        </is>
      </c>
      <c r="B383" t="n">
        <v>18</v>
      </c>
      <c r="C383" t="inlineStr">
        <is>
          <t>V0018</t>
        </is>
      </c>
      <c r="D383" t="n">
        <v>12</v>
      </c>
      <c r="E383" t="n">
        <v>62300</v>
      </c>
      <c r="F383" t="inlineStr">
        <is>
          <t>PO100293</t>
        </is>
      </c>
      <c r="G383" t="n">
        <v>20250429</v>
      </c>
      <c r="H383" t="inlineStr">
        <is>
          <t>2025-04-29</t>
        </is>
      </c>
      <c r="I383" t="n">
        <v>20250529</v>
      </c>
      <c r="J383" t="inlineStr">
        <is>
          <t>2025-05-29</t>
        </is>
      </c>
      <c r="K383" s="9" t="n">
        <v>312.94</v>
      </c>
      <c r="L383" t="inlineStr">
        <is>
          <t>USD</t>
        </is>
      </c>
      <c r="M383" s="4" t="n">
        <v>312.94</v>
      </c>
      <c r="N383" t="inlineStr">
        <is>
          <t>Paid</t>
        </is>
      </c>
      <c r="O383" t="inlineStr">
        <is>
          <t>False</t>
        </is>
      </c>
      <c r="P383" t="n">
        <v>30</v>
      </c>
      <c r="Q383">
        <f>VLOOKUP(D383,GL_Accounts!$A$2:$E$1048576,5,FALSE)</f>
        <v/>
      </c>
      <c r="R383">
        <f>VLOOKUP(D383,GL_Accounts!$A$2:$E$1048576,4,FALSE)</f>
        <v/>
      </c>
    </row>
    <row r="384">
      <c r="A384" t="inlineStr">
        <is>
          <t>INV200383</t>
        </is>
      </c>
      <c r="B384" t="n">
        <v>18</v>
      </c>
      <c r="C384" t="inlineStr">
        <is>
          <t>V0018</t>
        </is>
      </c>
      <c r="D384" t="n">
        <v>12</v>
      </c>
      <c r="E384" t="n">
        <v>62300</v>
      </c>
      <c r="F384" t="inlineStr">
        <is>
          <t>PO100293</t>
        </is>
      </c>
      <c r="G384" t="n">
        <v>20250510</v>
      </c>
      <c r="H384" t="inlineStr">
        <is>
          <t>2025-05-10</t>
        </is>
      </c>
      <c r="I384" t="n">
        <v>20250609</v>
      </c>
      <c r="J384" t="inlineStr">
        <is>
          <t>2025-06-09</t>
        </is>
      </c>
      <c r="K384" s="9" t="n">
        <v>528.66</v>
      </c>
      <c r="L384" t="inlineStr">
        <is>
          <t>USD</t>
        </is>
      </c>
      <c r="M384" s="4" t="n">
        <v>528.66</v>
      </c>
      <c r="N384" t="inlineStr">
        <is>
          <t>Paid</t>
        </is>
      </c>
      <c r="O384" t="inlineStr">
        <is>
          <t>False</t>
        </is>
      </c>
      <c r="P384" t="n">
        <v>30</v>
      </c>
      <c r="Q384">
        <f>VLOOKUP(D384,GL_Accounts!$A$2:$E$1048576,5,FALSE)</f>
        <v/>
      </c>
      <c r="R384">
        <f>VLOOKUP(D384,GL_Accounts!$A$2:$E$1048576,4,FALSE)</f>
        <v/>
      </c>
    </row>
    <row r="385">
      <c r="A385" t="inlineStr">
        <is>
          <t>INV200384</t>
        </is>
      </c>
      <c r="B385" t="n">
        <v>18</v>
      </c>
      <c r="C385" t="inlineStr">
        <is>
          <t>V0018</t>
        </is>
      </c>
      <c r="D385" t="n">
        <v>13</v>
      </c>
      <c r="E385" t="n">
        <v>62400</v>
      </c>
      <c r="F385" t="inlineStr">
        <is>
          <t>PO100293</t>
        </is>
      </c>
      <c r="G385" t="n">
        <v>20250716</v>
      </c>
      <c r="H385" t="inlineStr">
        <is>
          <t>2025-07-16</t>
        </is>
      </c>
      <c r="I385" t="n">
        <v>20250815</v>
      </c>
      <c r="J385" t="inlineStr">
        <is>
          <t>2025-08-15</t>
        </is>
      </c>
      <c r="K385" s="9" t="n">
        <v>721.42</v>
      </c>
      <c r="L385" t="inlineStr">
        <is>
          <t>USD</t>
        </is>
      </c>
      <c r="M385" s="4" t="n">
        <v>721.42</v>
      </c>
      <c r="N385" t="inlineStr">
        <is>
          <t>Paid</t>
        </is>
      </c>
      <c r="O385" t="inlineStr">
        <is>
          <t>False</t>
        </is>
      </c>
      <c r="P385" t="n">
        <v>30</v>
      </c>
      <c r="Q385">
        <f>VLOOKUP(D385,GL_Accounts!$A$2:$E$1048576,5,FALSE)</f>
        <v/>
      </c>
      <c r="R385">
        <f>VLOOKUP(D385,GL_Accounts!$A$2:$E$1048576,4,FALSE)</f>
        <v/>
      </c>
    </row>
    <row r="386">
      <c r="A386" t="inlineStr">
        <is>
          <t>INV200385</t>
        </is>
      </c>
      <c r="B386" t="n">
        <v>27</v>
      </c>
      <c r="C386" t="inlineStr">
        <is>
          <t>V0027</t>
        </is>
      </c>
      <c r="D386" t="n">
        <v>7</v>
      </c>
      <c r="E386" t="n">
        <v>61200</v>
      </c>
      <c r="F386" t="inlineStr">
        <is>
          <t>PO100294</t>
        </is>
      </c>
      <c r="G386" t="n">
        <v>20241229</v>
      </c>
      <c r="H386" t="inlineStr">
        <is>
          <t>2024-12-29</t>
        </is>
      </c>
      <c r="I386" t="n">
        <v>20250128</v>
      </c>
      <c r="J386" t="inlineStr">
        <is>
          <t>2025-01-28</t>
        </is>
      </c>
      <c r="K386" s="9" t="n">
        <v>4500.68</v>
      </c>
      <c r="L386" t="inlineStr">
        <is>
          <t>USD</t>
        </is>
      </c>
      <c r="M386" s="4" t="n">
        <v>4500.68</v>
      </c>
      <c r="N386" t="inlineStr">
        <is>
          <t>Paid</t>
        </is>
      </c>
      <c r="O386" t="inlineStr">
        <is>
          <t>False</t>
        </is>
      </c>
      <c r="P386" t="n">
        <v>30</v>
      </c>
      <c r="Q386">
        <f>VLOOKUP(D386,GL_Accounts!$A$2:$E$1048576,5,FALSE)</f>
        <v/>
      </c>
      <c r="R386">
        <f>VLOOKUP(D386,GL_Accounts!$A$2:$E$1048576,4,FALSE)</f>
        <v/>
      </c>
    </row>
    <row r="387">
      <c r="A387" t="inlineStr">
        <is>
          <t>INV200386</t>
        </is>
      </c>
      <c r="B387" t="n">
        <v>18</v>
      </c>
      <c r="C387" t="inlineStr">
        <is>
          <t>V0018</t>
        </is>
      </c>
      <c r="D387" t="n">
        <v>11</v>
      </c>
      <c r="E387" t="n">
        <v>62200</v>
      </c>
      <c r="F387" t="inlineStr">
        <is>
          <t>PO100295</t>
        </is>
      </c>
      <c r="G387" t="n">
        <v>20250121</v>
      </c>
      <c r="H387" t="inlineStr">
        <is>
          <t>2025-01-21</t>
        </is>
      </c>
      <c r="I387" t="n">
        <v>20250220</v>
      </c>
      <c r="J387" t="inlineStr">
        <is>
          <t>2025-02-20</t>
        </is>
      </c>
      <c r="K387" s="9" t="n">
        <v>597.39</v>
      </c>
      <c r="L387" t="inlineStr">
        <is>
          <t>USD</t>
        </is>
      </c>
      <c r="M387" s="4" t="n">
        <v>597.39</v>
      </c>
      <c r="N387" t="inlineStr">
        <is>
          <t>Paid</t>
        </is>
      </c>
      <c r="O387" t="inlineStr">
        <is>
          <t>False</t>
        </is>
      </c>
      <c r="P387" t="n">
        <v>30</v>
      </c>
      <c r="Q387">
        <f>VLOOKUP(D387,GL_Accounts!$A$2:$E$1048576,5,FALSE)</f>
        <v/>
      </c>
      <c r="R387">
        <f>VLOOKUP(D387,GL_Accounts!$A$2:$E$1048576,4,FALSE)</f>
        <v/>
      </c>
    </row>
    <row r="388">
      <c r="A388" t="inlineStr">
        <is>
          <t>INV200387</t>
        </is>
      </c>
      <c r="B388" t="n">
        <v>18</v>
      </c>
      <c r="C388" t="inlineStr">
        <is>
          <t>V0018</t>
        </is>
      </c>
      <c r="D388" t="n">
        <v>11</v>
      </c>
      <c r="E388" t="n">
        <v>62200</v>
      </c>
      <c r="F388" t="inlineStr">
        <is>
          <t>PO100295</t>
        </is>
      </c>
      <c r="G388" t="n">
        <v>20250129</v>
      </c>
      <c r="H388" t="inlineStr">
        <is>
          <t>2025-01-29</t>
        </is>
      </c>
      <c r="I388" t="n">
        <v>20250228</v>
      </c>
      <c r="J388" t="inlineStr">
        <is>
          <t>2025-02-28</t>
        </is>
      </c>
      <c r="K388" s="9" t="n">
        <v>502.33</v>
      </c>
      <c r="L388" t="inlineStr">
        <is>
          <t>USD</t>
        </is>
      </c>
      <c r="M388" s="4" t="n">
        <v>502.33</v>
      </c>
      <c r="N388" t="inlineStr">
        <is>
          <t>Paid</t>
        </is>
      </c>
      <c r="O388" t="inlineStr">
        <is>
          <t>False</t>
        </is>
      </c>
      <c r="P388" t="n">
        <v>30</v>
      </c>
      <c r="Q388">
        <f>VLOOKUP(D388,GL_Accounts!$A$2:$E$1048576,5,FALSE)</f>
        <v/>
      </c>
      <c r="R388">
        <f>VLOOKUP(D388,GL_Accounts!$A$2:$E$1048576,4,FALSE)</f>
        <v/>
      </c>
    </row>
    <row r="389">
      <c r="A389" t="inlineStr">
        <is>
          <t>INV200388</t>
        </is>
      </c>
      <c r="B389" t="n">
        <v>18</v>
      </c>
      <c r="C389" t="inlineStr">
        <is>
          <t>V0018</t>
        </is>
      </c>
      <c r="D389" t="n">
        <v>13</v>
      </c>
      <c r="E389" t="n">
        <v>62400</v>
      </c>
      <c r="F389" t="inlineStr">
        <is>
          <t>PO100295</t>
        </is>
      </c>
      <c r="G389" t="n">
        <v>20250414</v>
      </c>
      <c r="H389" t="inlineStr">
        <is>
          <t>2025-04-14</t>
        </is>
      </c>
      <c r="I389" t="n">
        <v>20250514</v>
      </c>
      <c r="J389" t="inlineStr">
        <is>
          <t>2025-05-14</t>
        </is>
      </c>
      <c r="K389" s="9" t="n">
        <v>834.37</v>
      </c>
      <c r="L389" t="inlineStr">
        <is>
          <t>USD</t>
        </is>
      </c>
      <c r="M389" s="4" t="n">
        <v>834.37</v>
      </c>
      <c r="N389" t="inlineStr">
        <is>
          <t>Paid</t>
        </is>
      </c>
      <c r="O389" t="inlineStr">
        <is>
          <t>False</t>
        </is>
      </c>
      <c r="P389" t="n">
        <v>30</v>
      </c>
      <c r="Q389">
        <f>VLOOKUP(D389,GL_Accounts!$A$2:$E$1048576,5,FALSE)</f>
        <v/>
      </c>
      <c r="R389">
        <f>VLOOKUP(D389,GL_Accounts!$A$2:$E$1048576,4,FALSE)</f>
        <v/>
      </c>
    </row>
    <row r="390">
      <c r="A390" t="inlineStr">
        <is>
          <t>INV200389</t>
        </is>
      </c>
      <c r="B390" t="n">
        <v>9</v>
      </c>
      <c r="C390" t="inlineStr">
        <is>
          <t>V0009</t>
        </is>
      </c>
      <c r="D390" t="n">
        <v>6</v>
      </c>
      <c r="E390" t="n">
        <v>61100</v>
      </c>
      <c r="F390" t="inlineStr">
        <is>
          <t>PO100296</t>
        </is>
      </c>
      <c r="G390" t="n">
        <v>20250202</v>
      </c>
      <c r="H390" t="inlineStr">
        <is>
          <t>2025-02-02</t>
        </is>
      </c>
      <c r="I390" t="n">
        <v>20250217</v>
      </c>
      <c r="J390" t="inlineStr">
        <is>
          <t>2025-02-17</t>
        </is>
      </c>
      <c r="K390" s="9" t="n">
        <v>1153.96</v>
      </c>
      <c r="L390" t="inlineStr">
        <is>
          <t>USD</t>
        </is>
      </c>
      <c r="M390" s="4" t="n">
        <v>1153.96</v>
      </c>
      <c r="N390" t="inlineStr">
        <is>
          <t>Paid</t>
        </is>
      </c>
      <c r="O390" t="inlineStr">
        <is>
          <t>False</t>
        </is>
      </c>
      <c r="P390" t="n">
        <v>15</v>
      </c>
      <c r="Q390">
        <f>VLOOKUP(D390,GL_Accounts!$A$2:$E$1048576,5,FALSE)</f>
        <v/>
      </c>
      <c r="R390">
        <f>VLOOKUP(D390,GL_Accounts!$A$2:$E$1048576,4,FALSE)</f>
        <v/>
      </c>
    </row>
    <row r="391">
      <c r="A391" t="inlineStr">
        <is>
          <t>INV200390</t>
        </is>
      </c>
      <c r="B391" t="n">
        <v>9</v>
      </c>
      <c r="C391" t="inlineStr">
        <is>
          <t>V0009</t>
        </is>
      </c>
      <c r="D391" t="n">
        <v>9</v>
      </c>
      <c r="E391" t="n">
        <v>61400</v>
      </c>
      <c r="F391" t="inlineStr">
        <is>
          <t>PO100296</t>
        </is>
      </c>
      <c r="G391" t="n">
        <v>20250304</v>
      </c>
      <c r="H391" t="inlineStr">
        <is>
          <t>2025-03-04</t>
        </is>
      </c>
      <c r="I391" t="n">
        <v>20250319</v>
      </c>
      <c r="J391" t="inlineStr">
        <is>
          <t>2025-03-19</t>
        </is>
      </c>
      <c r="K391" s="9" t="n">
        <v>3305.78</v>
      </c>
      <c r="L391" t="inlineStr">
        <is>
          <t>USD</t>
        </is>
      </c>
      <c r="M391" s="4" t="n">
        <v>3305.78</v>
      </c>
      <c r="N391" t="inlineStr">
        <is>
          <t>Paid</t>
        </is>
      </c>
      <c r="O391" t="inlineStr">
        <is>
          <t>False</t>
        </is>
      </c>
      <c r="P391" t="n">
        <v>15</v>
      </c>
      <c r="Q391">
        <f>VLOOKUP(D391,GL_Accounts!$A$2:$E$1048576,5,FALSE)</f>
        <v/>
      </c>
      <c r="R391">
        <f>VLOOKUP(D391,GL_Accounts!$A$2:$E$1048576,4,FALSE)</f>
        <v/>
      </c>
    </row>
    <row r="392">
      <c r="A392" t="inlineStr">
        <is>
          <t>INV200391</t>
        </is>
      </c>
      <c r="B392" t="n">
        <v>31</v>
      </c>
      <c r="C392" t="inlineStr">
        <is>
          <t>V0031</t>
        </is>
      </c>
      <c r="D392" t="n">
        <v>4</v>
      </c>
      <c r="E392" t="n">
        <v>60200</v>
      </c>
      <c r="F392" t="inlineStr">
        <is>
          <t>PO100298</t>
        </is>
      </c>
      <c r="G392" t="n">
        <v>20250430</v>
      </c>
      <c r="H392" t="inlineStr">
        <is>
          <t>2025-04-30</t>
        </is>
      </c>
      <c r="I392" t="n">
        <v>20250530</v>
      </c>
      <c r="J392" t="inlineStr">
        <is>
          <t>2025-05-30</t>
        </is>
      </c>
      <c r="K392" s="9" t="n">
        <v>25005.28</v>
      </c>
      <c r="L392" t="inlineStr">
        <is>
          <t>USD</t>
        </is>
      </c>
      <c r="M392" s="4" t="n">
        <v>25005.28</v>
      </c>
      <c r="N392" t="inlineStr">
        <is>
          <t>Unpaid</t>
        </is>
      </c>
      <c r="O392" t="inlineStr">
        <is>
          <t>False</t>
        </is>
      </c>
      <c r="P392" t="n">
        <v>30</v>
      </c>
      <c r="Q392">
        <f>VLOOKUP(D392,GL_Accounts!$A$2:$E$1048576,5,FALSE)</f>
        <v/>
      </c>
      <c r="R392">
        <f>VLOOKUP(D392,GL_Accounts!$A$2:$E$1048576,4,FALSE)</f>
        <v/>
      </c>
    </row>
    <row r="393">
      <c r="A393" t="inlineStr">
        <is>
          <t>INV200392</t>
        </is>
      </c>
      <c r="B393" t="n">
        <v>46</v>
      </c>
      <c r="C393" t="inlineStr">
        <is>
          <t>V0046</t>
        </is>
      </c>
      <c r="D393" t="n">
        <v>12</v>
      </c>
      <c r="E393" t="n">
        <v>62300</v>
      </c>
      <c r="F393" t="inlineStr">
        <is>
          <t>PO100300</t>
        </is>
      </c>
      <c r="G393" t="n">
        <v>20250727</v>
      </c>
      <c r="H393" t="inlineStr">
        <is>
          <t>2025-07-27</t>
        </is>
      </c>
      <c r="I393" t="n">
        <v>20250925</v>
      </c>
      <c r="J393" t="inlineStr">
        <is>
          <t>2025-09-25</t>
        </is>
      </c>
      <c r="K393" s="9" t="n">
        <v>3391.58</v>
      </c>
      <c r="L393" t="inlineStr">
        <is>
          <t>USD</t>
        </is>
      </c>
      <c r="M393" s="4" t="n">
        <v>3391.58</v>
      </c>
      <c r="N393" t="inlineStr">
        <is>
          <t>Paid</t>
        </is>
      </c>
      <c r="O393" t="inlineStr">
        <is>
          <t>False</t>
        </is>
      </c>
      <c r="P393" t="n">
        <v>60</v>
      </c>
      <c r="Q393">
        <f>VLOOKUP(D393,GL_Accounts!$A$2:$E$1048576,5,FALSE)</f>
        <v/>
      </c>
      <c r="R393">
        <f>VLOOKUP(D393,GL_Accounts!$A$2:$E$1048576,4,FALSE)</f>
        <v/>
      </c>
    </row>
    <row r="394">
      <c r="A394" t="inlineStr">
        <is>
          <t>INV200393</t>
        </is>
      </c>
      <c r="B394" t="n">
        <v>17</v>
      </c>
      <c r="C394" t="inlineStr">
        <is>
          <t>V0017</t>
        </is>
      </c>
      <c r="D394" t="n">
        <v>9</v>
      </c>
      <c r="E394" t="n">
        <v>61400</v>
      </c>
      <c r="F394" t="inlineStr">
        <is>
          <t>PO100302</t>
        </is>
      </c>
      <c r="G394" t="n">
        <v>20260124</v>
      </c>
      <c r="H394" t="inlineStr">
        <is>
          <t>2026-01-24</t>
        </is>
      </c>
      <c r="I394" t="n">
        <v>20260310</v>
      </c>
      <c r="J394" t="inlineStr">
        <is>
          <t>2026-03-10</t>
        </is>
      </c>
      <c r="K394" s="9" t="n">
        <v>3147.33</v>
      </c>
      <c r="L394" t="inlineStr">
        <is>
          <t>USD</t>
        </is>
      </c>
      <c r="M394" s="4" t="n">
        <v>3147.33</v>
      </c>
      <c r="N394" t="inlineStr">
        <is>
          <t>Paid</t>
        </is>
      </c>
      <c r="O394" t="inlineStr">
        <is>
          <t>False</t>
        </is>
      </c>
      <c r="P394" t="n">
        <v>45</v>
      </c>
      <c r="Q394">
        <f>VLOOKUP(D394,GL_Accounts!$A$2:$E$1048576,5,FALSE)</f>
        <v/>
      </c>
      <c r="R394">
        <f>VLOOKUP(D394,GL_Accounts!$A$2:$E$1048576,4,FALSE)</f>
        <v/>
      </c>
    </row>
    <row r="395">
      <c r="A395" t="inlineStr">
        <is>
          <t>INV200394</t>
        </is>
      </c>
      <c r="B395" t="n">
        <v>9</v>
      </c>
      <c r="C395" t="inlineStr">
        <is>
          <t>V0009</t>
        </is>
      </c>
      <c r="D395" t="n">
        <v>9</v>
      </c>
      <c r="E395" t="n">
        <v>61400</v>
      </c>
      <c r="F395" t="inlineStr">
        <is>
          <t>PO100303</t>
        </is>
      </c>
      <c r="G395" t="n">
        <v>20250516</v>
      </c>
      <c r="H395" t="inlineStr">
        <is>
          <t>2025-05-16</t>
        </is>
      </c>
      <c r="I395" t="n">
        <v>20250531</v>
      </c>
      <c r="J395" t="inlineStr">
        <is>
          <t>2025-05-31</t>
        </is>
      </c>
      <c r="K395" s="9" t="n">
        <v>10083.3</v>
      </c>
      <c r="L395" t="inlineStr">
        <is>
          <t>USD</t>
        </is>
      </c>
      <c r="M395" s="4" t="n">
        <v>10083.3</v>
      </c>
      <c r="N395" t="inlineStr">
        <is>
          <t>Paid</t>
        </is>
      </c>
      <c r="O395" t="inlineStr">
        <is>
          <t>False</t>
        </is>
      </c>
      <c r="P395" t="n">
        <v>15</v>
      </c>
      <c r="Q395">
        <f>VLOOKUP(D395,GL_Accounts!$A$2:$E$1048576,5,FALSE)</f>
        <v/>
      </c>
      <c r="R395">
        <f>VLOOKUP(D395,GL_Accounts!$A$2:$E$1048576,4,FALSE)</f>
        <v/>
      </c>
    </row>
    <row r="396">
      <c r="A396" t="inlineStr">
        <is>
          <t>INV200395</t>
        </is>
      </c>
      <c r="B396" t="n">
        <v>47</v>
      </c>
      <c r="C396" t="inlineStr">
        <is>
          <t>V0047</t>
        </is>
      </c>
      <c r="D396" t="n">
        <v>15</v>
      </c>
      <c r="E396" t="n">
        <v>63200</v>
      </c>
      <c r="F396" t="inlineStr">
        <is>
          <t>PO100306</t>
        </is>
      </c>
      <c r="G396" t="n">
        <v>20260726</v>
      </c>
      <c r="H396" t="inlineStr">
        <is>
          <t>2026-07-26</t>
        </is>
      </c>
      <c r="I396" t="n">
        <v>20260825</v>
      </c>
      <c r="J396" t="inlineStr">
        <is>
          <t>2026-08-25</t>
        </is>
      </c>
      <c r="K396" s="9" t="n">
        <v>3535.82</v>
      </c>
      <c r="L396" t="inlineStr">
        <is>
          <t>USD</t>
        </is>
      </c>
      <c r="M396" s="4" t="n">
        <v>3535.82</v>
      </c>
      <c r="N396" t="inlineStr">
        <is>
          <t>Unpaid</t>
        </is>
      </c>
      <c r="O396" t="inlineStr">
        <is>
          <t>False</t>
        </is>
      </c>
      <c r="P396" t="n">
        <v>30</v>
      </c>
      <c r="Q396">
        <f>VLOOKUP(D396,GL_Accounts!$A$2:$E$1048576,5,FALSE)</f>
        <v/>
      </c>
      <c r="R396">
        <f>VLOOKUP(D396,GL_Accounts!$A$2:$E$1048576,4,FALSE)</f>
        <v/>
      </c>
    </row>
    <row r="397">
      <c r="A397" t="inlineStr">
        <is>
          <t>INV200396</t>
        </is>
      </c>
      <c r="B397" t="n">
        <v>26</v>
      </c>
      <c r="C397" t="inlineStr">
        <is>
          <t>V0026</t>
        </is>
      </c>
      <c r="D397" t="n">
        <v>18</v>
      </c>
      <c r="E397" t="n">
        <v>64200</v>
      </c>
      <c r="F397" t="inlineStr">
        <is>
          <t>PO100307</t>
        </is>
      </c>
      <c r="G397" t="n">
        <v>20250220</v>
      </c>
      <c r="H397" t="inlineStr">
        <is>
          <t>2025-02-20</t>
        </is>
      </c>
      <c r="I397" t="n">
        <v>20250406</v>
      </c>
      <c r="J397" t="inlineStr">
        <is>
          <t>2025-04-06</t>
        </is>
      </c>
      <c r="K397" s="9" t="n">
        <v>16918.12</v>
      </c>
      <c r="L397" t="inlineStr">
        <is>
          <t>USD</t>
        </is>
      </c>
      <c r="M397" s="4" t="n">
        <v>16918.12</v>
      </c>
      <c r="N397" t="inlineStr">
        <is>
          <t>Paid</t>
        </is>
      </c>
      <c r="O397" t="inlineStr">
        <is>
          <t>False</t>
        </is>
      </c>
      <c r="P397" t="n">
        <v>45</v>
      </c>
      <c r="Q397">
        <f>VLOOKUP(D397,GL_Accounts!$A$2:$E$1048576,5,FALSE)</f>
        <v/>
      </c>
      <c r="R397">
        <f>VLOOKUP(D397,GL_Accounts!$A$2:$E$1048576,4,FALSE)</f>
        <v/>
      </c>
    </row>
    <row r="398">
      <c r="A398" t="inlineStr">
        <is>
          <t>INV200397</t>
        </is>
      </c>
      <c r="B398" t="n">
        <v>21</v>
      </c>
      <c r="C398" t="inlineStr">
        <is>
          <t>V0021</t>
        </is>
      </c>
      <c r="D398" t="n">
        <v>17</v>
      </c>
      <c r="E398" t="n">
        <v>64100</v>
      </c>
      <c r="F398" t="inlineStr">
        <is>
          <t>PO100308</t>
        </is>
      </c>
      <c r="G398" t="n">
        <v>20241020</v>
      </c>
      <c r="H398" t="inlineStr">
        <is>
          <t>2024-10-20</t>
        </is>
      </c>
      <c r="I398" t="n">
        <v>20241219</v>
      </c>
      <c r="J398" t="inlineStr">
        <is>
          <t>2024-12-19</t>
        </is>
      </c>
      <c r="K398" s="9" t="n">
        <v>12839.77</v>
      </c>
      <c r="L398" t="inlineStr">
        <is>
          <t>USD</t>
        </is>
      </c>
      <c r="M398" s="4" t="n">
        <v>12839.77</v>
      </c>
      <c r="N398" t="inlineStr">
        <is>
          <t>Paid</t>
        </is>
      </c>
      <c r="O398" t="inlineStr">
        <is>
          <t>False</t>
        </is>
      </c>
      <c r="P398" t="n">
        <v>60</v>
      </c>
      <c r="Q398">
        <f>VLOOKUP(D398,GL_Accounts!$A$2:$E$1048576,5,FALSE)</f>
        <v/>
      </c>
      <c r="R398">
        <f>VLOOKUP(D398,GL_Accounts!$A$2:$E$1048576,4,FALSE)</f>
        <v/>
      </c>
    </row>
    <row r="399">
      <c r="A399" t="inlineStr">
        <is>
          <t>INV200398</t>
        </is>
      </c>
      <c r="B399" t="n">
        <v>41</v>
      </c>
      <c r="C399" t="inlineStr">
        <is>
          <t>V0041</t>
        </is>
      </c>
      <c r="D399" t="n">
        <v>2</v>
      </c>
      <c r="E399" t="n">
        <v>60110</v>
      </c>
      <c r="F399" t="inlineStr">
        <is>
          <t>PO100310</t>
        </is>
      </c>
      <c r="G399" t="n">
        <v>20260326</v>
      </c>
      <c r="H399" t="inlineStr">
        <is>
          <t>2026-03-26</t>
        </is>
      </c>
      <c r="I399" t="n">
        <v>20260425</v>
      </c>
      <c r="J399" t="inlineStr">
        <is>
          <t>2026-04-25</t>
        </is>
      </c>
      <c r="K399" s="9" t="n">
        <v>40907.6</v>
      </c>
      <c r="L399" t="inlineStr">
        <is>
          <t>USD</t>
        </is>
      </c>
      <c r="M399" s="4" t="n">
        <v>40907.6</v>
      </c>
      <c r="N399" t="inlineStr">
        <is>
          <t>Paid</t>
        </is>
      </c>
      <c r="O399" t="inlineStr">
        <is>
          <t>False</t>
        </is>
      </c>
      <c r="P399" t="n">
        <v>30</v>
      </c>
      <c r="Q399">
        <f>VLOOKUP(D399,GL_Accounts!$A$2:$E$1048576,5,FALSE)</f>
        <v/>
      </c>
      <c r="R399">
        <f>VLOOKUP(D399,GL_Accounts!$A$2:$E$1048576,4,FALSE)</f>
        <v/>
      </c>
    </row>
    <row r="400">
      <c r="A400" t="inlineStr">
        <is>
          <t>INV200399</t>
        </is>
      </c>
      <c r="B400" t="n">
        <v>9</v>
      </c>
      <c r="C400" t="inlineStr">
        <is>
          <t>V0009</t>
        </is>
      </c>
      <c r="D400" t="n">
        <v>6</v>
      </c>
      <c r="E400" t="n">
        <v>61100</v>
      </c>
      <c r="F400" t="inlineStr">
        <is>
          <t>PO100312</t>
        </is>
      </c>
      <c r="G400" t="n">
        <v>20260202</v>
      </c>
      <c r="H400" t="inlineStr">
        <is>
          <t>2026-02-02</t>
        </is>
      </c>
      <c r="I400" t="n">
        <v>20260217</v>
      </c>
      <c r="J400" t="inlineStr">
        <is>
          <t>2026-02-17</t>
        </is>
      </c>
      <c r="K400" s="9" t="n">
        <v>13210.67</v>
      </c>
      <c r="L400" t="inlineStr">
        <is>
          <t>USD</t>
        </is>
      </c>
      <c r="M400" s="4" t="n">
        <v>13210.67</v>
      </c>
      <c r="N400" t="inlineStr">
        <is>
          <t>Paid</t>
        </is>
      </c>
      <c r="O400" t="inlineStr">
        <is>
          <t>False</t>
        </is>
      </c>
      <c r="P400" t="n">
        <v>15</v>
      </c>
      <c r="Q400">
        <f>VLOOKUP(D400,GL_Accounts!$A$2:$E$1048576,5,FALSE)</f>
        <v/>
      </c>
      <c r="R400">
        <f>VLOOKUP(D400,GL_Accounts!$A$2:$E$1048576,4,FALSE)</f>
        <v/>
      </c>
    </row>
    <row r="401">
      <c r="A401" t="inlineStr">
        <is>
          <t>INV200400</t>
        </is>
      </c>
      <c r="B401" t="n">
        <v>27</v>
      </c>
      <c r="C401" t="inlineStr">
        <is>
          <t>V0027</t>
        </is>
      </c>
      <c r="D401" t="n">
        <v>7</v>
      </c>
      <c r="E401" t="n">
        <v>61200</v>
      </c>
      <c r="F401" t="inlineStr">
        <is>
          <t>PO100314</t>
        </is>
      </c>
      <c r="G401" t="n">
        <v>20260215</v>
      </c>
      <c r="H401" t="inlineStr">
        <is>
          <t>2026-02-15</t>
        </is>
      </c>
      <c r="I401" t="n">
        <v>20260317</v>
      </c>
      <c r="J401" t="inlineStr">
        <is>
          <t>2026-03-17</t>
        </is>
      </c>
      <c r="K401" s="9" t="n">
        <v>1734.68</v>
      </c>
      <c r="L401" t="inlineStr">
        <is>
          <t>USD</t>
        </is>
      </c>
      <c r="M401" s="4" t="n">
        <v>1734.68</v>
      </c>
      <c r="N401" t="inlineStr">
        <is>
          <t>Paid</t>
        </is>
      </c>
      <c r="O401" t="inlineStr">
        <is>
          <t>False</t>
        </is>
      </c>
      <c r="P401" t="n">
        <v>30</v>
      </c>
      <c r="Q401">
        <f>VLOOKUP(D401,GL_Accounts!$A$2:$E$1048576,5,FALSE)</f>
        <v/>
      </c>
      <c r="R401">
        <f>VLOOKUP(D401,GL_Accounts!$A$2:$E$1048576,4,FALSE)</f>
        <v/>
      </c>
    </row>
    <row r="402">
      <c r="A402" t="inlineStr">
        <is>
          <t>INV200401</t>
        </is>
      </c>
      <c r="B402" t="n">
        <v>27</v>
      </c>
      <c r="C402" t="inlineStr">
        <is>
          <t>V0027</t>
        </is>
      </c>
      <c r="D402" t="n">
        <v>9</v>
      </c>
      <c r="E402" t="n">
        <v>61400</v>
      </c>
      <c r="F402" t="inlineStr">
        <is>
          <t>PO100314</t>
        </is>
      </c>
      <c r="G402" t="n">
        <v>20260223</v>
      </c>
      <c r="H402" t="inlineStr">
        <is>
          <t>2026-02-23</t>
        </is>
      </c>
      <c r="I402" t="n">
        <v>20260325</v>
      </c>
      <c r="J402" t="inlineStr">
        <is>
          <t>2026-03-25</t>
        </is>
      </c>
      <c r="K402" s="9" t="n">
        <v>592.39</v>
      </c>
      <c r="L402" t="inlineStr">
        <is>
          <t>USD</t>
        </is>
      </c>
      <c r="M402" s="4" t="n">
        <v>592.39</v>
      </c>
      <c r="N402" t="inlineStr">
        <is>
          <t>Paid</t>
        </is>
      </c>
      <c r="O402" t="inlineStr">
        <is>
          <t>False</t>
        </is>
      </c>
      <c r="P402" t="n">
        <v>30</v>
      </c>
      <c r="Q402">
        <f>VLOOKUP(D402,GL_Accounts!$A$2:$E$1048576,5,FALSE)</f>
        <v/>
      </c>
      <c r="R402">
        <f>VLOOKUP(D402,GL_Accounts!$A$2:$E$1048576,4,FALSE)</f>
        <v/>
      </c>
    </row>
    <row r="403">
      <c r="A403" t="inlineStr">
        <is>
          <t>INV200402</t>
        </is>
      </c>
      <c r="B403" t="n">
        <v>27</v>
      </c>
      <c r="C403" t="inlineStr">
        <is>
          <t>V0027</t>
        </is>
      </c>
      <c r="D403" t="n">
        <v>7</v>
      </c>
      <c r="E403" t="n">
        <v>61200</v>
      </c>
      <c r="F403" t="inlineStr">
        <is>
          <t>PO100314</t>
        </is>
      </c>
      <c r="G403" t="n">
        <v>20260408</v>
      </c>
      <c r="H403" t="inlineStr">
        <is>
          <t>2026-04-08</t>
        </is>
      </c>
      <c r="I403" t="n">
        <v>20260508</v>
      </c>
      <c r="J403" t="inlineStr">
        <is>
          <t>2026-05-08</t>
        </is>
      </c>
      <c r="K403" s="9" t="n">
        <v>1928.43</v>
      </c>
      <c r="L403" t="inlineStr">
        <is>
          <t>USD</t>
        </is>
      </c>
      <c r="M403" s="4" t="n">
        <v>1928.43</v>
      </c>
      <c r="N403" t="inlineStr">
        <is>
          <t>Paid</t>
        </is>
      </c>
      <c r="O403" t="inlineStr">
        <is>
          <t>False</t>
        </is>
      </c>
      <c r="P403" t="n">
        <v>30</v>
      </c>
      <c r="Q403">
        <f>VLOOKUP(D403,GL_Accounts!$A$2:$E$1048576,5,FALSE)</f>
        <v/>
      </c>
      <c r="R403">
        <f>VLOOKUP(D403,GL_Accounts!$A$2:$E$1048576,4,FALSE)</f>
        <v/>
      </c>
    </row>
    <row r="404">
      <c r="A404" t="inlineStr">
        <is>
          <t>INV200403</t>
        </is>
      </c>
      <c r="B404" t="n">
        <v>48</v>
      </c>
      <c r="C404" t="inlineStr">
        <is>
          <t>V0048</t>
        </is>
      </c>
      <c r="D404" t="n">
        <v>1</v>
      </c>
      <c r="E404" t="n">
        <v>60100</v>
      </c>
      <c r="F404" t="inlineStr">
        <is>
          <t>PO100315</t>
        </is>
      </c>
      <c r="G404" t="n">
        <v>20260329</v>
      </c>
      <c r="H404" t="inlineStr">
        <is>
          <t>2026-03-29</t>
        </is>
      </c>
      <c r="I404" t="n">
        <v>20260513</v>
      </c>
      <c r="J404" t="inlineStr">
        <is>
          <t>2026-05-13</t>
        </is>
      </c>
      <c r="K404" s="9" t="n">
        <v>13419.2</v>
      </c>
      <c r="L404" t="inlineStr">
        <is>
          <t>USD</t>
        </is>
      </c>
      <c r="M404" s="4" t="n">
        <v>13419.2</v>
      </c>
      <c r="N404" t="inlineStr">
        <is>
          <t>Paid</t>
        </is>
      </c>
      <c r="O404" t="inlineStr">
        <is>
          <t>False</t>
        </is>
      </c>
      <c r="P404" t="n">
        <v>45</v>
      </c>
      <c r="Q404">
        <f>VLOOKUP(D404,GL_Accounts!$A$2:$E$1048576,5,FALSE)</f>
        <v/>
      </c>
      <c r="R404">
        <f>VLOOKUP(D404,GL_Accounts!$A$2:$E$1048576,4,FALSE)</f>
        <v/>
      </c>
    </row>
    <row r="405">
      <c r="A405" t="inlineStr">
        <is>
          <t>INV200404</t>
        </is>
      </c>
      <c r="B405" t="n">
        <v>48</v>
      </c>
      <c r="C405" t="inlineStr">
        <is>
          <t>V0048</t>
        </is>
      </c>
      <c r="D405" t="n">
        <v>2</v>
      </c>
      <c r="E405" t="n">
        <v>60110</v>
      </c>
      <c r="F405" t="inlineStr">
        <is>
          <t>PO100315</t>
        </is>
      </c>
      <c r="G405" t="n">
        <v>20260426</v>
      </c>
      <c r="H405" t="inlineStr">
        <is>
          <t>2026-04-26</t>
        </is>
      </c>
      <c r="I405" t="n">
        <v>20260610</v>
      </c>
      <c r="J405" t="inlineStr">
        <is>
          <t>2026-06-10</t>
        </is>
      </c>
      <c r="K405" s="9" t="n">
        <v>8025.7</v>
      </c>
      <c r="L405" t="inlineStr">
        <is>
          <t>USD</t>
        </is>
      </c>
      <c r="M405" s="4" t="n">
        <v>8025.7</v>
      </c>
      <c r="N405" t="inlineStr">
        <is>
          <t>Unpaid</t>
        </is>
      </c>
      <c r="O405" t="inlineStr">
        <is>
          <t>False</t>
        </is>
      </c>
      <c r="P405" t="n">
        <v>45</v>
      </c>
      <c r="Q405">
        <f>VLOOKUP(D405,GL_Accounts!$A$2:$E$1048576,5,FALSE)</f>
        <v/>
      </c>
      <c r="R405">
        <f>VLOOKUP(D405,GL_Accounts!$A$2:$E$1048576,4,FALSE)</f>
        <v/>
      </c>
    </row>
    <row r="406">
      <c r="A406" t="inlineStr">
        <is>
          <t>INV200405</t>
        </is>
      </c>
      <c r="B406" t="n">
        <v>48</v>
      </c>
      <c r="C406" t="inlineStr">
        <is>
          <t>V0048</t>
        </is>
      </c>
      <c r="D406" t="n">
        <v>1</v>
      </c>
      <c r="E406" t="n">
        <v>60100</v>
      </c>
      <c r="F406" t="inlineStr">
        <is>
          <t>PO100315</t>
        </is>
      </c>
      <c r="G406" t="n">
        <v>20260420</v>
      </c>
      <c r="H406" t="inlineStr">
        <is>
          <t>2026-04-20</t>
        </is>
      </c>
      <c r="I406" t="n">
        <v>20260604</v>
      </c>
      <c r="J406" t="inlineStr">
        <is>
          <t>2026-06-04</t>
        </is>
      </c>
      <c r="K406" s="9" t="n">
        <v>43840.24</v>
      </c>
      <c r="L406" t="inlineStr">
        <is>
          <t>USD</t>
        </is>
      </c>
      <c r="M406" s="4" t="n">
        <v>43840.24</v>
      </c>
      <c r="N406" t="inlineStr">
        <is>
          <t>Unpaid</t>
        </is>
      </c>
      <c r="O406" t="inlineStr">
        <is>
          <t>False</t>
        </is>
      </c>
      <c r="P406" t="n">
        <v>45</v>
      </c>
      <c r="Q406">
        <f>VLOOKUP(D406,GL_Accounts!$A$2:$E$1048576,5,FALSE)</f>
        <v/>
      </c>
      <c r="R406">
        <f>VLOOKUP(D406,GL_Accounts!$A$2:$E$1048576,4,FALSE)</f>
        <v/>
      </c>
    </row>
    <row r="407">
      <c r="A407" t="inlineStr">
        <is>
          <t>INV200406</t>
        </is>
      </c>
      <c r="B407" t="n">
        <v>59</v>
      </c>
      <c r="C407" t="inlineStr">
        <is>
          <t>V0024</t>
        </is>
      </c>
      <c r="D407" t="n">
        <v>8</v>
      </c>
      <c r="E407" t="n">
        <v>61300</v>
      </c>
      <c r="F407" t="inlineStr">
        <is>
          <t>PO100316</t>
        </is>
      </c>
      <c r="G407" t="n">
        <v>20260808</v>
      </c>
      <c r="H407" t="inlineStr">
        <is>
          <t>2026-08-08</t>
        </is>
      </c>
      <c r="I407" t="n">
        <v>20260922</v>
      </c>
      <c r="J407" t="inlineStr">
        <is>
          <t>2026-09-22</t>
        </is>
      </c>
      <c r="K407" s="9" t="n">
        <v>26808.96</v>
      </c>
      <c r="L407" t="inlineStr">
        <is>
          <t>USD</t>
        </is>
      </c>
      <c r="M407" s="4" t="n">
        <v>26808.96</v>
      </c>
      <c r="N407" t="inlineStr">
        <is>
          <t>Unpaid</t>
        </is>
      </c>
      <c r="O407" t="inlineStr">
        <is>
          <t>False</t>
        </is>
      </c>
      <c r="P407" t="n">
        <v>45</v>
      </c>
      <c r="Q407">
        <f>VLOOKUP(D407,GL_Accounts!$A$2:$E$1048576,5,FALSE)</f>
        <v/>
      </c>
      <c r="R407">
        <f>VLOOKUP(D407,GL_Accounts!$A$2:$E$1048576,4,FALSE)</f>
        <v/>
      </c>
    </row>
    <row r="408">
      <c r="A408" t="inlineStr">
        <is>
          <t>INV200407</t>
        </is>
      </c>
      <c r="B408" t="n">
        <v>12</v>
      </c>
      <c r="C408" t="inlineStr">
        <is>
          <t>V0012</t>
        </is>
      </c>
      <c r="D408" t="n">
        <v>12</v>
      </c>
      <c r="E408" t="n">
        <v>62300</v>
      </c>
      <c r="F408" t="inlineStr">
        <is>
          <t>PO100317</t>
        </is>
      </c>
      <c r="G408" t="n">
        <v>20250904</v>
      </c>
      <c r="H408" t="inlineStr">
        <is>
          <t>2025-09-04</t>
        </is>
      </c>
      <c r="I408" t="n">
        <v>20251004</v>
      </c>
      <c r="J408" t="inlineStr">
        <is>
          <t>2025-10-04</t>
        </is>
      </c>
      <c r="K408" s="9" t="n">
        <v>688.5599999999999</v>
      </c>
      <c r="L408" t="inlineStr">
        <is>
          <t>USD</t>
        </is>
      </c>
      <c r="M408" s="4" t="n">
        <v>688.5599999999999</v>
      </c>
      <c r="N408" t="inlineStr">
        <is>
          <t>Paid</t>
        </is>
      </c>
      <c r="O408" t="inlineStr">
        <is>
          <t>False</t>
        </is>
      </c>
      <c r="P408" t="n">
        <v>30</v>
      </c>
      <c r="Q408">
        <f>VLOOKUP(D408,GL_Accounts!$A$2:$E$1048576,5,FALSE)</f>
        <v/>
      </c>
      <c r="R408">
        <f>VLOOKUP(D408,GL_Accounts!$A$2:$E$1048576,4,FALSE)</f>
        <v/>
      </c>
    </row>
    <row r="409">
      <c r="A409" t="inlineStr">
        <is>
          <t>INV200408</t>
        </is>
      </c>
      <c r="B409" t="n">
        <v>17</v>
      </c>
      <c r="C409" t="inlineStr">
        <is>
          <t>V0017</t>
        </is>
      </c>
      <c r="D409" t="n">
        <v>7</v>
      </c>
      <c r="E409" t="n">
        <v>61200</v>
      </c>
      <c r="F409" t="inlineStr">
        <is>
          <t>PO100318</t>
        </is>
      </c>
      <c r="G409" t="n">
        <v>20260305</v>
      </c>
      <c r="H409" t="inlineStr">
        <is>
          <t>2026-03-05</t>
        </is>
      </c>
      <c r="I409" t="n">
        <v>20260419</v>
      </c>
      <c r="J409" t="inlineStr">
        <is>
          <t>2026-04-19</t>
        </is>
      </c>
      <c r="K409" s="9" t="n">
        <v>3749.43</v>
      </c>
      <c r="L409" t="inlineStr">
        <is>
          <t>USD</t>
        </is>
      </c>
      <c r="M409" s="4" t="n">
        <v>3749.43</v>
      </c>
      <c r="N409" t="inlineStr">
        <is>
          <t>Paid</t>
        </is>
      </c>
      <c r="O409" t="inlineStr">
        <is>
          <t>False</t>
        </is>
      </c>
      <c r="P409" t="n">
        <v>45</v>
      </c>
      <c r="Q409">
        <f>VLOOKUP(D409,GL_Accounts!$A$2:$E$1048576,5,FALSE)</f>
        <v/>
      </c>
      <c r="R409">
        <f>VLOOKUP(D409,GL_Accounts!$A$2:$E$1048576,4,FALSE)</f>
        <v/>
      </c>
    </row>
    <row r="410">
      <c r="A410" t="inlineStr">
        <is>
          <t>INV200409</t>
        </is>
      </c>
      <c r="B410" t="n">
        <v>49</v>
      </c>
      <c r="C410" t="inlineStr">
        <is>
          <t>V0049</t>
        </is>
      </c>
      <c r="D410" t="n">
        <v>9</v>
      </c>
      <c r="E410" t="n">
        <v>61400</v>
      </c>
      <c r="F410" t="inlineStr">
        <is>
          <t>PO100319</t>
        </is>
      </c>
      <c r="G410" t="n">
        <v>20260222</v>
      </c>
      <c r="H410" t="inlineStr">
        <is>
          <t>2026-02-22</t>
        </is>
      </c>
      <c r="I410" t="n">
        <v>20260324</v>
      </c>
      <c r="J410" t="inlineStr">
        <is>
          <t>2026-03-24</t>
        </is>
      </c>
      <c r="K410" s="9" t="n">
        <v>8366.77</v>
      </c>
      <c r="L410" t="inlineStr">
        <is>
          <t>USD</t>
        </is>
      </c>
      <c r="M410" s="4" t="n">
        <v>8366.77</v>
      </c>
      <c r="N410" t="inlineStr">
        <is>
          <t>Paid</t>
        </is>
      </c>
      <c r="O410" t="inlineStr">
        <is>
          <t>False</t>
        </is>
      </c>
      <c r="P410" t="n">
        <v>30</v>
      </c>
      <c r="Q410">
        <f>VLOOKUP(D410,GL_Accounts!$A$2:$E$1048576,5,FALSE)</f>
        <v/>
      </c>
      <c r="R410">
        <f>VLOOKUP(D410,GL_Accounts!$A$2:$E$1048576,4,FALSE)</f>
        <v/>
      </c>
    </row>
    <row r="411">
      <c r="A411" t="inlineStr">
        <is>
          <t>INV200410</t>
        </is>
      </c>
      <c r="B411" t="n">
        <v>49</v>
      </c>
      <c r="C411" t="inlineStr">
        <is>
          <t>V0049</t>
        </is>
      </c>
      <c r="D411" t="n">
        <v>7</v>
      </c>
      <c r="E411" t="n">
        <v>61200</v>
      </c>
      <c r="F411" t="inlineStr">
        <is>
          <t>PO100320</t>
        </is>
      </c>
      <c r="G411" t="n">
        <v>20241107</v>
      </c>
      <c r="H411" t="inlineStr">
        <is>
          <t>2024-11-07</t>
        </is>
      </c>
      <c r="I411" t="n">
        <v>20241207</v>
      </c>
      <c r="J411" t="inlineStr">
        <is>
          <t>2024-12-07</t>
        </is>
      </c>
      <c r="K411" s="9" t="n">
        <v>2176.92</v>
      </c>
      <c r="L411" t="inlineStr">
        <is>
          <t>USD</t>
        </is>
      </c>
      <c r="M411" s="4" t="n">
        <v>2176.92</v>
      </c>
      <c r="N411" t="inlineStr">
        <is>
          <t>Unpaid</t>
        </is>
      </c>
      <c r="O411" t="inlineStr">
        <is>
          <t>False</t>
        </is>
      </c>
      <c r="P411" t="n">
        <v>30</v>
      </c>
      <c r="Q411">
        <f>VLOOKUP(D411,GL_Accounts!$A$2:$E$1048576,5,FALSE)</f>
        <v/>
      </c>
      <c r="R411">
        <f>VLOOKUP(D411,GL_Accounts!$A$2:$E$1048576,4,FALSE)</f>
        <v/>
      </c>
    </row>
    <row r="412">
      <c r="A412" t="inlineStr">
        <is>
          <t>INV200411</t>
        </is>
      </c>
      <c r="B412" t="n">
        <v>9</v>
      </c>
      <c r="C412" t="inlineStr">
        <is>
          <t>V0009</t>
        </is>
      </c>
      <c r="D412" t="n">
        <v>9</v>
      </c>
      <c r="E412" t="n">
        <v>61400</v>
      </c>
      <c r="F412" t="inlineStr">
        <is>
          <t>PO100321</t>
        </is>
      </c>
      <c r="G412" t="n">
        <v>20250426</v>
      </c>
      <c r="H412" t="inlineStr">
        <is>
          <t>2025-04-26</t>
        </is>
      </c>
      <c r="I412" t="n">
        <v>20250511</v>
      </c>
      <c r="J412" t="inlineStr">
        <is>
          <t>2025-05-11</t>
        </is>
      </c>
      <c r="K412" s="9" t="n">
        <v>3777.82</v>
      </c>
      <c r="L412" t="inlineStr">
        <is>
          <t>USD</t>
        </is>
      </c>
      <c r="M412" s="4" t="n">
        <v>3777.82</v>
      </c>
      <c r="N412" t="inlineStr">
        <is>
          <t>Paid</t>
        </is>
      </c>
      <c r="O412" t="inlineStr">
        <is>
          <t>False</t>
        </is>
      </c>
      <c r="P412" t="n">
        <v>15</v>
      </c>
      <c r="Q412">
        <f>VLOOKUP(D412,GL_Accounts!$A$2:$E$1048576,5,FALSE)</f>
        <v/>
      </c>
      <c r="R412">
        <f>VLOOKUP(D412,GL_Accounts!$A$2:$E$1048576,4,FALSE)</f>
        <v/>
      </c>
    </row>
    <row r="413">
      <c r="A413" t="inlineStr">
        <is>
          <t>INV200412</t>
        </is>
      </c>
      <c r="B413" t="n">
        <v>12</v>
      </c>
      <c r="C413" t="inlineStr">
        <is>
          <t>V0012</t>
        </is>
      </c>
      <c r="D413" t="n">
        <v>10</v>
      </c>
      <c r="E413" t="n">
        <v>62100</v>
      </c>
      <c r="F413" t="inlineStr">
        <is>
          <t>PO100322</t>
        </is>
      </c>
      <c r="G413" t="n">
        <v>20241103</v>
      </c>
      <c r="H413" t="inlineStr">
        <is>
          <t>2024-11-03</t>
        </is>
      </c>
      <c r="I413" t="n">
        <v>20241203</v>
      </c>
      <c r="J413" t="inlineStr">
        <is>
          <t>2024-12-03</t>
        </is>
      </c>
      <c r="K413" s="9" t="n">
        <v>798.36</v>
      </c>
      <c r="L413" t="inlineStr">
        <is>
          <t>USD</t>
        </is>
      </c>
      <c r="M413" s="4" t="n">
        <v>798.36</v>
      </c>
      <c r="N413" t="inlineStr">
        <is>
          <t>Paid</t>
        </is>
      </c>
      <c r="O413" t="inlineStr">
        <is>
          <t>False</t>
        </is>
      </c>
      <c r="P413" t="n">
        <v>30</v>
      </c>
      <c r="Q413">
        <f>VLOOKUP(D413,GL_Accounts!$A$2:$E$1048576,5,FALSE)</f>
        <v/>
      </c>
      <c r="R413">
        <f>VLOOKUP(D413,GL_Accounts!$A$2:$E$1048576,4,FALSE)</f>
        <v/>
      </c>
    </row>
    <row r="414">
      <c r="A414" t="inlineStr">
        <is>
          <t>INV200413</t>
        </is>
      </c>
      <c r="B414" t="n">
        <v>12</v>
      </c>
      <c r="C414" t="inlineStr">
        <is>
          <t>V0012</t>
        </is>
      </c>
      <c r="D414" t="n">
        <v>13</v>
      </c>
      <c r="E414" t="n">
        <v>62400</v>
      </c>
      <c r="F414" t="inlineStr">
        <is>
          <t>PO100322</t>
        </is>
      </c>
      <c r="G414" t="n">
        <v>20241124</v>
      </c>
      <c r="H414" t="inlineStr">
        <is>
          <t>2024-11-24</t>
        </is>
      </c>
      <c r="I414" t="n">
        <v>20241224</v>
      </c>
      <c r="J414" t="inlineStr">
        <is>
          <t>2024-12-24</t>
        </is>
      </c>
      <c r="K414" s="9" t="n">
        <v>419.2</v>
      </c>
      <c r="L414" t="inlineStr">
        <is>
          <t>USD</t>
        </is>
      </c>
      <c r="M414" s="4" t="n">
        <v>419.2</v>
      </c>
      <c r="N414" t="inlineStr">
        <is>
          <t>Paid</t>
        </is>
      </c>
      <c r="O414" t="inlineStr">
        <is>
          <t>False</t>
        </is>
      </c>
      <c r="P414" t="n">
        <v>30</v>
      </c>
      <c r="Q414">
        <f>VLOOKUP(D414,GL_Accounts!$A$2:$E$1048576,5,FALSE)</f>
        <v/>
      </c>
      <c r="R414">
        <f>VLOOKUP(D414,GL_Accounts!$A$2:$E$1048576,4,FALSE)</f>
        <v/>
      </c>
    </row>
    <row r="415">
      <c r="A415" t="inlineStr">
        <is>
          <t>INV200414</t>
        </is>
      </c>
      <c r="B415" t="n">
        <v>60</v>
      </c>
      <c r="C415" t="inlineStr">
        <is>
          <t>V0001</t>
        </is>
      </c>
      <c r="D415" t="n">
        <v>4</v>
      </c>
      <c r="E415" t="n">
        <v>60200</v>
      </c>
      <c r="F415" t="inlineStr">
        <is>
          <t>PO100326</t>
        </is>
      </c>
      <c r="G415" t="n">
        <v>20250925</v>
      </c>
      <c r="H415" t="inlineStr">
        <is>
          <t>2025-09-25</t>
        </is>
      </c>
      <c r="I415" t="n">
        <v>20251109</v>
      </c>
      <c r="J415" t="inlineStr">
        <is>
          <t>2025-11-09</t>
        </is>
      </c>
      <c r="K415" s="9" t="n">
        <v>31198.28</v>
      </c>
      <c r="L415" t="inlineStr">
        <is>
          <t>USD</t>
        </is>
      </c>
      <c r="M415" s="4" t="n">
        <v>31198.28</v>
      </c>
      <c r="N415" t="inlineStr">
        <is>
          <t>Paid</t>
        </is>
      </c>
      <c r="O415" t="inlineStr">
        <is>
          <t>False</t>
        </is>
      </c>
      <c r="P415" t="n">
        <v>45</v>
      </c>
      <c r="Q415">
        <f>VLOOKUP(D415,GL_Accounts!$A$2:$E$1048576,5,FALSE)</f>
        <v/>
      </c>
      <c r="R415">
        <f>VLOOKUP(D415,GL_Accounts!$A$2:$E$1048576,4,FALSE)</f>
        <v/>
      </c>
    </row>
    <row r="416">
      <c r="A416" t="inlineStr">
        <is>
          <t>INV200415</t>
        </is>
      </c>
      <c r="B416" t="n">
        <v>60</v>
      </c>
      <c r="C416" t="inlineStr">
        <is>
          <t>V0001</t>
        </is>
      </c>
      <c r="D416" t="n">
        <v>3</v>
      </c>
      <c r="E416" t="n">
        <v>60120</v>
      </c>
      <c r="F416" t="inlineStr">
        <is>
          <t>PO100326</t>
        </is>
      </c>
      <c r="G416" t="n">
        <v>20251009</v>
      </c>
      <c r="H416" t="inlineStr">
        <is>
          <t>2025-10-09</t>
        </is>
      </c>
      <c r="I416" t="n">
        <v>20251123</v>
      </c>
      <c r="J416" t="inlineStr">
        <is>
          <t>2025-11-23</t>
        </is>
      </c>
      <c r="K416" s="9" t="n">
        <v>592.64</v>
      </c>
      <c r="L416" t="inlineStr">
        <is>
          <t>USD</t>
        </is>
      </c>
      <c r="M416" s="4" t="n">
        <v>592.64</v>
      </c>
      <c r="N416" t="inlineStr">
        <is>
          <t>Paid</t>
        </is>
      </c>
      <c r="O416" t="inlineStr">
        <is>
          <t>False</t>
        </is>
      </c>
      <c r="P416" t="n">
        <v>45</v>
      </c>
      <c r="Q416">
        <f>VLOOKUP(D416,GL_Accounts!$A$2:$E$1048576,5,FALSE)</f>
        <v/>
      </c>
      <c r="R416">
        <f>VLOOKUP(D416,GL_Accounts!$A$2:$E$1048576,4,FALSE)</f>
        <v/>
      </c>
    </row>
    <row r="417">
      <c r="A417" t="inlineStr">
        <is>
          <t>INV200416</t>
        </is>
      </c>
      <c r="B417" t="n">
        <v>60</v>
      </c>
      <c r="C417" t="inlineStr">
        <is>
          <t>V0001</t>
        </is>
      </c>
      <c r="D417" t="n">
        <v>2</v>
      </c>
      <c r="E417" t="n">
        <v>60110</v>
      </c>
      <c r="F417" t="inlineStr">
        <is>
          <t>PO100326</t>
        </is>
      </c>
      <c r="G417" t="n">
        <v>20251019</v>
      </c>
      <c r="H417" t="inlineStr">
        <is>
          <t>2025-10-19</t>
        </is>
      </c>
      <c r="I417" t="n">
        <v>20251203</v>
      </c>
      <c r="J417" t="inlineStr">
        <is>
          <t>2025-12-03</t>
        </is>
      </c>
      <c r="K417" s="9" t="n">
        <v>28054.03</v>
      </c>
      <c r="L417" t="inlineStr">
        <is>
          <t>USD</t>
        </is>
      </c>
      <c r="M417" s="4" t="n">
        <v>28054.03</v>
      </c>
      <c r="N417" t="inlineStr">
        <is>
          <t>Paid</t>
        </is>
      </c>
      <c r="O417" t="inlineStr">
        <is>
          <t>False</t>
        </is>
      </c>
      <c r="P417" t="n">
        <v>45</v>
      </c>
      <c r="Q417">
        <f>VLOOKUP(D417,GL_Accounts!$A$2:$E$1048576,5,FALSE)</f>
        <v/>
      </c>
      <c r="R417">
        <f>VLOOKUP(D417,GL_Accounts!$A$2:$E$1048576,4,FALSE)</f>
        <v/>
      </c>
    </row>
    <row r="418">
      <c r="A418" t="inlineStr">
        <is>
          <t>INV200417</t>
        </is>
      </c>
      <c r="B418" t="n">
        <v>40</v>
      </c>
      <c r="C418" t="inlineStr">
        <is>
          <t>V0040</t>
        </is>
      </c>
      <c r="D418" t="n">
        <v>12</v>
      </c>
      <c r="E418" t="n">
        <v>62300</v>
      </c>
      <c r="F418" t="inlineStr">
        <is>
          <t>PO100327</t>
        </is>
      </c>
      <c r="G418" t="n">
        <v>20251221</v>
      </c>
      <c r="H418" t="inlineStr">
        <is>
          <t>2025-12-21</t>
        </is>
      </c>
      <c r="I418" t="n">
        <v>20260120</v>
      </c>
      <c r="J418" t="inlineStr">
        <is>
          <t>2026-01-20</t>
        </is>
      </c>
      <c r="K418" s="9" t="n">
        <v>975.14</v>
      </c>
      <c r="L418" t="inlineStr">
        <is>
          <t>USD</t>
        </is>
      </c>
      <c r="M418" s="4" t="n">
        <v>975.14</v>
      </c>
      <c r="N418" t="inlineStr">
        <is>
          <t>Paid</t>
        </is>
      </c>
      <c r="O418" t="inlineStr">
        <is>
          <t>False</t>
        </is>
      </c>
      <c r="P418" t="n">
        <v>30</v>
      </c>
      <c r="Q418">
        <f>VLOOKUP(D418,GL_Accounts!$A$2:$E$1048576,5,FALSE)</f>
        <v/>
      </c>
      <c r="R418">
        <f>VLOOKUP(D418,GL_Accounts!$A$2:$E$1048576,4,FALSE)</f>
        <v/>
      </c>
    </row>
    <row r="419">
      <c r="A419" t="inlineStr">
        <is>
          <t>INV200418</t>
        </is>
      </c>
      <c r="B419" t="n">
        <v>40</v>
      </c>
      <c r="C419" t="inlineStr">
        <is>
          <t>V0040</t>
        </is>
      </c>
      <c r="D419" t="n">
        <v>12</v>
      </c>
      <c r="E419" t="n">
        <v>62300</v>
      </c>
      <c r="F419" t="inlineStr">
        <is>
          <t>PO100327</t>
        </is>
      </c>
      <c r="G419" t="n">
        <v>20260129</v>
      </c>
      <c r="H419" t="inlineStr">
        <is>
          <t>2026-01-29</t>
        </is>
      </c>
      <c r="I419" t="n">
        <v>20260228</v>
      </c>
      <c r="J419" t="inlineStr">
        <is>
          <t>2026-02-28</t>
        </is>
      </c>
      <c r="K419" s="9" t="n">
        <v>643.28</v>
      </c>
      <c r="L419" t="inlineStr">
        <is>
          <t>USD</t>
        </is>
      </c>
      <c r="M419" s="4" t="n">
        <v>643.28</v>
      </c>
      <c r="N419" t="inlineStr">
        <is>
          <t>Paid</t>
        </is>
      </c>
      <c r="O419" t="inlineStr">
        <is>
          <t>False</t>
        </is>
      </c>
      <c r="P419" t="n">
        <v>30</v>
      </c>
      <c r="Q419">
        <f>VLOOKUP(D419,GL_Accounts!$A$2:$E$1048576,5,FALSE)</f>
        <v/>
      </c>
      <c r="R419">
        <f>VLOOKUP(D419,GL_Accounts!$A$2:$E$1048576,4,FALSE)</f>
        <v/>
      </c>
    </row>
    <row r="420">
      <c r="A420" t="inlineStr">
        <is>
          <t>INV200419</t>
        </is>
      </c>
      <c r="B420" t="n">
        <v>17</v>
      </c>
      <c r="C420" t="inlineStr">
        <is>
          <t>V0017</t>
        </is>
      </c>
      <c r="D420" t="n">
        <v>9</v>
      </c>
      <c r="E420" t="n">
        <v>61400</v>
      </c>
      <c r="F420" t="inlineStr">
        <is>
          <t>PO100328</t>
        </is>
      </c>
      <c r="G420" t="n">
        <v>20260416</v>
      </c>
      <c r="H420" t="inlineStr">
        <is>
          <t>2026-04-16</t>
        </is>
      </c>
      <c r="I420" t="n">
        <v>20260531</v>
      </c>
      <c r="J420" t="inlineStr">
        <is>
          <t>2026-05-31</t>
        </is>
      </c>
      <c r="K420" s="9" t="n">
        <v>2048.17</v>
      </c>
      <c r="L420" t="inlineStr">
        <is>
          <t>USD</t>
        </is>
      </c>
      <c r="M420" s="4" t="n">
        <v>2048.17</v>
      </c>
      <c r="N420" t="inlineStr">
        <is>
          <t>Paid</t>
        </is>
      </c>
      <c r="O420" t="inlineStr">
        <is>
          <t>False</t>
        </is>
      </c>
      <c r="P420" t="n">
        <v>45</v>
      </c>
      <c r="Q420">
        <f>VLOOKUP(D420,GL_Accounts!$A$2:$E$1048576,5,FALSE)</f>
        <v/>
      </c>
      <c r="R420">
        <f>VLOOKUP(D420,GL_Accounts!$A$2:$E$1048576,4,FALSE)</f>
        <v/>
      </c>
    </row>
    <row r="421">
      <c r="A421" t="inlineStr">
        <is>
          <t>INV200420</t>
        </is>
      </c>
      <c r="B421" t="n">
        <v>17</v>
      </c>
      <c r="C421" t="inlineStr">
        <is>
          <t>V0017</t>
        </is>
      </c>
      <c r="D421" t="n">
        <v>6</v>
      </c>
      <c r="E421" t="n">
        <v>61100</v>
      </c>
      <c r="F421" t="inlineStr">
        <is>
          <t>PO100329</t>
        </is>
      </c>
      <c r="G421" t="n">
        <v>20250524</v>
      </c>
      <c r="H421" t="inlineStr">
        <is>
          <t>2025-05-24</t>
        </is>
      </c>
      <c r="I421" t="n">
        <v>20250708</v>
      </c>
      <c r="J421" t="inlineStr">
        <is>
          <t>2025-07-08</t>
        </is>
      </c>
      <c r="K421" s="9" t="n">
        <v>6403.58</v>
      </c>
      <c r="L421" t="inlineStr">
        <is>
          <t>USD</t>
        </is>
      </c>
      <c r="M421" s="4" t="n">
        <v>6403.58</v>
      </c>
      <c r="N421" t="inlineStr">
        <is>
          <t>Paid</t>
        </is>
      </c>
      <c r="O421" t="inlineStr">
        <is>
          <t>False</t>
        </is>
      </c>
      <c r="P421" t="n">
        <v>45</v>
      </c>
      <c r="Q421">
        <f>VLOOKUP(D421,GL_Accounts!$A$2:$E$1048576,5,FALSE)</f>
        <v/>
      </c>
      <c r="R421">
        <f>VLOOKUP(D421,GL_Accounts!$A$2:$E$1048576,4,FALSE)</f>
        <v/>
      </c>
    </row>
    <row r="422">
      <c r="A422" t="inlineStr">
        <is>
          <t>INV200421</t>
        </is>
      </c>
      <c r="B422" t="n">
        <v>17</v>
      </c>
      <c r="C422" t="inlineStr">
        <is>
          <t>V0017</t>
        </is>
      </c>
      <c r="D422" t="n">
        <v>6</v>
      </c>
      <c r="E422" t="n">
        <v>61100</v>
      </c>
      <c r="F422" t="inlineStr">
        <is>
          <t>PO100329</t>
        </is>
      </c>
      <c r="G422" t="n">
        <v>20250518</v>
      </c>
      <c r="H422" t="inlineStr">
        <is>
          <t>2025-05-18</t>
        </is>
      </c>
      <c r="I422" t="n">
        <v>20250702</v>
      </c>
      <c r="J422" t="inlineStr">
        <is>
          <t>2025-07-02</t>
        </is>
      </c>
      <c r="K422" s="9" t="n">
        <v>6160.61</v>
      </c>
      <c r="L422" t="inlineStr">
        <is>
          <t>USD</t>
        </is>
      </c>
      <c r="M422" s="4" t="n">
        <v>6160.61</v>
      </c>
      <c r="N422" t="inlineStr">
        <is>
          <t>Paid</t>
        </is>
      </c>
      <c r="O422" t="inlineStr">
        <is>
          <t>False</t>
        </is>
      </c>
      <c r="P422" t="n">
        <v>45</v>
      </c>
      <c r="Q422">
        <f>VLOOKUP(D422,GL_Accounts!$A$2:$E$1048576,5,FALSE)</f>
        <v/>
      </c>
      <c r="R422">
        <f>VLOOKUP(D422,GL_Accounts!$A$2:$E$1048576,4,FALSE)</f>
        <v/>
      </c>
    </row>
    <row r="423">
      <c r="A423" t="inlineStr">
        <is>
          <t>INV200422</t>
        </is>
      </c>
      <c r="B423" t="n">
        <v>32</v>
      </c>
      <c r="C423" t="inlineStr">
        <is>
          <t>V0032</t>
        </is>
      </c>
      <c r="D423" t="n">
        <v>9</v>
      </c>
      <c r="E423" t="n">
        <v>61400</v>
      </c>
      <c r="F423" t="inlineStr">
        <is>
          <t>PO100330</t>
        </is>
      </c>
      <c r="G423" t="n">
        <v>20251021</v>
      </c>
      <c r="H423" t="inlineStr">
        <is>
          <t>2025-10-21</t>
        </is>
      </c>
      <c r="I423" t="n">
        <v>20251205</v>
      </c>
      <c r="J423" t="inlineStr">
        <is>
          <t>2025-12-05</t>
        </is>
      </c>
      <c r="K423" s="9" t="n">
        <v>3464.88</v>
      </c>
      <c r="L423" t="inlineStr">
        <is>
          <t>USD</t>
        </is>
      </c>
      <c r="M423" s="4" t="n">
        <v>3464.88</v>
      </c>
      <c r="N423" t="inlineStr">
        <is>
          <t>Paid</t>
        </is>
      </c>
      <c r="O423" t="inlineStr">
        <is>
          <t>False</t>
        </is>
      </c>
      <c r="P423" t="n">
        <v>45</v>
      </c>
      <c r="Q423">
        <f>VLOOKUP(D423,GL_Accounts!$A$2:$E$1048576,5,FALSE)</f>
        <v/>
      </c>
      <c r="R423">
        <f>VLOOKUP(D423,GL_Accounts!$A$2:$E$1048576,4,FALSE)</f>
        <v/>
      </c>
    </row>
    <row r="424">
      <c r="A424" t="inlineStr">
        <is>
          <t>INV200423</t>
        </is>
      </c>
      <c r="B424" t="n">
        <v>32</v>
      </c>
      <c r="C424" t="inlineStr">
        <is>
          <t>V0032</t>
        </is>
      </c>
      <c r="D424" t="n">
        <v>6</v>
      </c>
      <c r="E424" t="n">
        <v>61100</v>
      </c>
      <c r="F424" t="inlineStr">
        <is>
          <t>PO100330</t>
        </is>
      </c>
      <c r="G424" t="n">
        <v>20251203</v>
      </c>
      <c r="H424" t="inlineStr">
        <is>
          <t>2025-12-03</t>
        </is>
      </c>
      <c r="I424" t="n">
        <v>20260117</v>
      </c>
      <c r="J424" t="inlineStr">
        <is>
          <t>2026-01-17</t>
        </is>
      </c>
      <c r="K424" s="9" t="n">
        <v>1062.54</v>
      </c>
      <c r="L424" t="inlineStr">
        <is>
          <t>USD</t>
        </is>
      </c>
      <c r="M424" s="4" t="n">
        <v>1062.54</v>
      </c>
      <c r="N424" t="inlineStr">
        <is>
          <t>Paid</t>
        </is>
      </c>
      <c r="O424" t="inlineStr">
        <is>
          <t>False</t>
        </is>
      </c>
      <c r="P424" t="n">
        <v>45</v>
      </c>
      <c r="Q424">
        <f>VLOOKUP(D424,GL_Accounts!$A$2:$E$1048576,5,FALSE)</f>
        <v/>
      </c>
      <c r="R424">
        <f>VLOOKUP(D424,GL_Accounts!$A$2:$E$1048576,4,FALSE)</f>
        <v/>
      </c>
    </row>
    <row r="425">
      <c r="A425" t="inlineStr">
        <is>
          <t>INV200424</t>
        </is>
      </c>
      <c r="B425" t="n">
        <v>34</v>
      </c>
      <c r="C425" t="inlineStr">
        <is>
          <t>V0034</t>
        </is>
      </c>
      <c r="D425" t="n">
        <v>14</v>
      </c>
      <c r="E425" t="n">
        <v>63100</v>
      </c>
      <c r="F425" t="inlineStr">
        <is>
          <t>PO100331</t>
        </is>
      </c>
      <c r="G425" t="n">
        <v>20250315</v>
      </c>
      <c r="H425" t="inlineStr">
        <is>
          <t>2025-03-15</t>
        </is>
      </c>
      <c r="I425" t="n">
        <v>20250330</v>
      </c>
      <c r="J425" t="inlineStr">
        <is>
          <t>2025-03-30</t>
        </is>
      </c>
      <c r="K425" s="9" t="n">
        <v>679.71</v>
      </c>
      <c r="L425" t="inlineStr">
        <is>
          <t>EUR</t>
        </is>
      </c>
      <c r="M425" s="4" t="n">
        <v>734.09</v>
      </c>
      <c r="N425" t="inlineStr">
        <is>
          <t>Paid</t>
        </is>
      </c>
      <c r="O425" t="inlineStr">
        <is>
          <t>False</t>
        </is>
      </c>
      <c r="P425" t="n">
        <v>15</v>
      </c>
      <c r="Q425">
        <f>VLOOKUP(D425,GL_Accounts!$A$2:$E$1048576,5,FALSE)</f>
        <v/>
      </c>
      <c r="R425">
        <f>VLOOKUP(D425,GL_Accounts!$A$2:$E$1048576,4,FALSE)</f>
        <v/>
      </c>
    </row>
    <row r="426">
      <c r="A426" t="inlineStr">
        <is>
          <t>INV200425</t>
        </is>
      </c>
      <c r="B426" t="n">
        <v>32</v>
      </c>
      <c r="C426" t="inlineStr">
        <is>
          <t>V0032</t>
        </is>
      </c>
      <c r="D426" t="n">
        <v>8</v>
      </c>
      <c r="E426" t="n">
        <v>61300</v>
      </c>
      <c r="F426" t="inlineStr">
        <is>
          <t>PO100332</t>
        </is>
      </c>
      <c r="G426" t="n">
        <v>20260519</v>
      </c>
      <c r="H426" t="inlineStr">
        <is>
          <t>2026-05-19</t>
        </is>
      </c>
      <c r="I426" t="n">
        <v>20260703</v>
      </c>
      <c r="J426" t="inlineStr">
        <is>
          <t>2026-07-03</t>
        </is>
      </c>
      <c r="K426" s="9" t="n">
        <v>3885.21</v>
      </c>
      <c r="L426" t="inlineStr">
        <is>
          <t>USD</t>
        </is>
      </c>
      <c r="M426" s="4" t="n">
        <v>3885.21</v>
      </c>
      <c r="N426" t="inlineStr">
        <is>
          <t>Paid</t>
        </is>
      </c>
      <c r="O426" t="inlineStr">
        <is>
          <t>False</t>
        </is>
      </c>
      <c r="P426" t="n">
        <v>45</v>
      </c>
      <c r="Q426">
        <f>VLOOKUP(D426,GL_Accounts!$A$2:$E$1048576,5,FALSE)</f>
        <v/>
      </c>
      <c r="R426">
        <f>VLOOKUP(D426,GL_Accounts!$A$2:$E$1048576,4,FALSE)</f>
        <v/>
      </c>
    </row>
    <row r="427">
      <c r="A427" t="inlineStr">
        <is>
          <t>INV200426</t>
        </is>
      </c>
      <c r="B427" t="n">
        <v>17</v>
      </c>
      <c r="C427" t="inlineStr">
        <is>
          <t>V0017</t>
        </is>
      </c>
      <c r="D427" t="n">
        <v>9</v>
      </c>
      <c r="E427" t="n">
        <v>61400</v>
      </c>
      <c r="F427" t="inlineStr">
        <is>
          <t>PO100333</t>
        </is>
      </c>
      <c r="G427" t="n">
        <v>20241006</v>
      </c>
      <c r="H427" t="inlineStr">
        <is>
          <t>2024-10-06</t>
        </is>
      </c>
      <c r="I427" t="n">
        <v>20241120</v>
      </c>
      <c r="J427" t="inlineStr">
        <is>
          <t>2024-11-20</t>
        </is>
      </c>
      <c r="K427" s="9" t="n">
        <v>2498.71</v>
      </c>
      <c r="L427" t="inlineStr">
        <is>
          <t>USD</t>
        </is>
      </c>
      <c r="M427" s="4" t="n">
        <v>2498.71</v>
      </c>
      <c r="N427" t="inlineStr">
        <is>
          <t>Paid</t>
        </is>
      </c>
      <c r="O427" t="inlineStr">
        <is>
          <t>False</t>
        </is>
      </c>
      <c r="P427" t="n">
        <v>45</v>
      </c>
      <c r="Q427">
        <f>VLOOKUP(D427,GL_Accounts!$A$2:$E$1048576,5,FALSE)</f>
        <v/>
      </c>
      <c r="R427">
        <f>VLOOKUP(D427,GL_Accounts!$A$2:$E$1048576,4,FALSE)</f>
        <v/>
      </c>
    </row>
    <row r="428">
      <c r="A428" t="inlineStr">
        <is>
          <t>INV200427</t>
        </is>
      </c>
      <c r="B428" t="n">
        <v>17</v>
      </c>
      <c r="C428" t="inlineStr">
        <is>
          <t>V0017</t>
        </is>
      </c>
      <c r="D428" t="n">
        <v>8</v>
      </c>
      <c r="E428" t="n">
        <v>61300</v>
      </c>
      <c r="F428" t="inlineStr">
        <is>
          <t>PO100333</t>
        </is>
      </c>
      <c r="G428" t="n">
        <v>20241113</v>
      </c>
      <c r="H428" t="inlineStr">
        <is>
          <t>2024-11-13</t>
        </is>
      </c>
      <c r="I428" t="n">
        <v>20241228</v>
      </c>
      <c r="J428" t="inlineStr">
        <is>
          <t>2024-12-28</t>
        </is>
      </c>
      <c r="K428" s="9" t="n">
        <v>6421.5</v>
      </c>
      <c r="L428" t="inlineStr">
        <is>
          <t>USD</t>
        </is>
      </c>
      <c r="M428" s="4" t="n">
        <v>6421.5</v>
      </c>
      <c r="N428" t="inlineStr">
        <is>
          <t>Paid</t>
        </is>
      </c>
      <c r="O428" t="inlineStr">
        <is>
          <t>False</t>
        </is>
      </c>
      <c r="P428" t="n">
        <v>45</v>
      </c>
      <c r="Q428">
        <f>VLOOKUP(D428,GL_Accounts!$A$2:$E$1048576,5,FALSE)</f>
        <v/>
      </c>
      <c r="R428">
        <f>VLOOKUP(D428,GL_Accounts!$A$2:$E$1048576,4,FALSE)</f>
        <v/>
      </c>
    </row>
    <row r="429">
      <c r="A429" t="inlineStr">
        <is>
          <t>INV200428</t>
        </is>
      </c>
      <c r="B429" t="n">
        <v>23</v>
      </c>
      <c r="C429" t="inlineStr">
        <is>
          <t>V0023</t>
        </is>
      </c>
      <c r="D429" t="n">
        <v>3</v>
      </c>
      <c r="E429" t="n">
        <v>60120</v>
      </c>
      <c r="F429" t="inlineStr">
        <is>
          <t>PO100334</t>
        </is>
      </c>
      <c r="G429" t="n">
        <v>20260514</v>
      </c>
      <c r="H429" t="inlineStr">
        <is>
          <t>2026-05-14</t>
        </is>
      </c>
      <c r="I429" t="n">
        <v>20260628</v>
      </c>
      <c r="J429" t="inlineStr">
        <is>
          <t>2026-06-28</t>
        </is>
      </c>
      <c r="K429" s="9" t="n">
        <v>5228.15</v>
      </c>
      <c r="L429" t="inlineStr">
        <is>
          <t>USD</t>
        </is>
      </c>
      <c r="M429" s="4" t="n">
        <v>5228.15</v>
      </c>
      <c r="N429" t="inlineStr">
        <is>
          <t>Unpaid</t>
        </is>
      </c>
      <c r="O429" t="inlineStr">
        <is>
          <t>False</t>
        </is>
      </c>
      <c r="P429" t="n">
        <v>45</v>
      </c>
      <c r="Q429">
        <f>VLOOKUP(D429,GL_Accounts!$A$2:$E$1048576,5,FALSE)</f>
        <v/>
      </c>
      <c r="R429">
        <f>VLOOKUP(D429,GL_Accounts!$A$2:$E$1048576,4,FALSE)</f>
        <v/>
      </c>
    </row>
    <row r="430">
      <c r="A430" t="inlineStr">
        <is>
          <t>INV200429</t>
        </is>
      </c>
      <c r="B430" t="n">
        <v>23</v>
      </c>
      <c r="C430" t="inlineStr">
        <is>
          <t>V0023</t>
        </is>
      </c>
      <c r="D430" t="n">
        <v>1</v>
      </c>
      <c r="E430" t="n">
        <v>60100</v>
      </c>
      <c r="F430" t="inlineStr">
        <is>
          <t>PO100334</t>
        </is>
      </c>
      <c r="G430" t="n">
        <v>20260615</v>
      </c>
      <c r="H430" t="inlineStr">
        <is>
          <t>2026-06-15</t>
        </is>
      </c>
      <c r="I430" t="n">
        <v>20260730</v>
      </c>
      <c r="J430" t="inlineStr">
        <is>
          <t>2026-07-30</t>
        </is>
      </c>
      <c r="K430" s="9" t="n">
        <v>6381.68</v>
      </c>
      <c r="L430" t="inlineStr">
        <is>
          <t>USD</t>
        </is>
      </c>
      <c r="M430" s="4" t="n">
        <v>6381.68</v>
      </c>
      <c r="N430" t="inlineStr">
        <is>
          <t>Unpaid</t>
        </is>
      </c>
      <c r="O430" t="inlineStr">
        <is>
          <t>False</t>
        </is>
      </c>
      <c r="P430" t="n">
        <v>45</v>
      </c>
      <c r="Q430">
        <f>VLOOKUP(D430,GL_Accounts!$A$2:$E$1048576,5,FALSE)</f>
        <v/>
      </c>
      <c r="R430">
        <f>VLOOKUP(D430,GL_Accounts!$A$2:$E$1048576,4,FALSE)</f>
        <v/>
      </c>
    </row>
    <row r="431">
      <c r="A431" t="inlineStr">
        <is>
          <t>INV200430</t>
        </is>
      </c>
      <c r="B431" t="n">
        <v>29</v>
      </c>
      <c r="C431" t="inlineStr">
        <is>
          <t>V0029</t>
        </is>
      </c>
      <c r="D431" t="n">
        <v>17</v>
      </c>
      <c r="E431" t="n">
        <v>64100</v>
      </c>
      <c r="F431" t="inlineStr">
        <is>
          <t>PO100336</t>
        </is>
      </c>
      <c r="G431" t="n">
        <v>20250102</v>
      </c>
      <c r="H431" t="inlineStr">
        <is>
          <t>2025-01-02</t>
        </is>
      </c>
      <c r="I431" t="n">
        <v>20250303</v>
      </c>
      <c r="J431" t="inlineStr">
        <is>
          <t>2025-03-03</t>
        </is>
      </c>
      <c r="K431" s="9" t="n">
        <v>3157.36</v>
      </c>
      <c r="L431" t="inlineStr">
        <is>
          <t>USD</t>
        </is>
      </c>
      <c r="M431" s="4" t="n">
        <v>3157.36</v>
      </c>
      <c r="N431" t="inlineStr">
        <is>
          <t>Paid</t>
        </is>
      </c>
      <c r="O431" t="inlineStr">
        <is>
          <t>False</t>
        </is>
      </c>
      <c r="P431" t="n">
        <v>60</v>
      </c>
      <c r="Q431">
        <f>VLOOKUP(D431,GL_Accounts!$A$2:$E$1048576,5,FALSE)</f>
        <v/>
      </c>
      <c r="R431">
        <f>VLOOKUP(D431,GL_Accounts!$A$2:$E$1048576,4,FALSE)</f>
        <v/>
      </c>
    </row>
    <row r="432">
      <c r="A432" t="inlineStr">
        <is>
          <t>INV200431</t>
        </is>
      </c>
      <c r="B432" t="n">
        <v>29</v>
      </c>
      <c r="C432" t="inlineStr">
        <is>
          <t>V0029</t>
        </is>
      </c>
      <c r="D432" t="n">
        <v>16</v>
      </c>
      <c r="E432" t="n">
        <v>63300</v>
      </c>
      <c r="F432" t="inlineStr">
        <is>
          <t>PO100336</t>
        </is>
      </c>
      <c r="G432" t="n">
        <v>20250121</v>
      </c>
      <c r="H432" t="inlineStr">
        <is>
          <t>2025-01-21</t>
        </is>
      </c>
      <c r="I432" t="n">
        <v>20250322</v>
      </c>
      <c r="J432" t="inlineStr">
        <is>
          <t>2025-03-22</t>
        </is>
      </c>
      <c r="K432" s="9" t="n">
        <v>1165.36</v>
      </c>
      <c r="L432" t="inlineStr">
        <is>
          <t>USD</t>
        </is>
      </c>
      <c r="M432" s="4" t="n">
        <v>1165.36</v>
      </c>
      <c r="N432" t="inlineStr">
        <is>
          <t>Paid</t>
        </is>
      </c>
      <c r="O432" t="inlineStr">
        <is>
          <t>False</t>
        </is>
      </c>
      <c r="P432" t="n">
        <v>60</v>
      </c>
      <c r="Q432">
        <f>VLOOKUP(D432,GL_Accounts!$A$2:$E$1048576,5,FALSE)</f>
        <v/>
      </c>
      <c r="R432">
        <f>VLOOKUP(D432,GL_Accounts!$A$2:$E$1048576,4,FALSE)</f>
        <v/>
      </c>
    </row>
    <row r="433">
      <c r="A433" t="inlineStr">
        <is>
          <t>INV200432</t>
        </is>
      </c>
      <c r="B433" t="n">
        <v>29</v>
      </c>
      <c r="C433" t="inlineStr">
        <is>
          <t>V0029</t>
        </is>
      </c>
      <c r="D433" t="n">
        <v>8</v>
      </c>
      <c r="E433" t="n">
        <v>61300</v>
      </c>
      <c r="F433" t="inlineStr">
        <is>
          <t>PO100336</t>
        </is>
      </c>
      <c r="G433" t="n">
        <v>20250228</v>
      </c>
      <c r="H433" t="inlineStr">
        <is>
          <t>2025-02-28</t>
        </is>
      </c>
      <c r="I433" t="n">
        <v>20250429</v>
      </c>
      <c r="J433" t="inlineStr">
        <is>
          <t>2025-04-29</t>
        </is>
      </c>
      <c r="K433" s="9" t="n">
        <v>3207.9</v>
      </c>
      <c r="L433" t="inlineStr">
        <is>
          <t>USD</t>
        </is>
      </c>
      <c r="M433" s="4" t="n">
        <v>3207.9</v>
      </c>
      <c r="N433" t="inlineStr">
        <is>
          <t>Paid</t>
        </is>
      </c>
      <c r="O433" t="inlineStr">
        <is>
          <t>False</t>
        </is>
      </c>
      <c r="P433" t="n">
        <v>60</v>
      </c>
      <c r="Q433">
        <f>VLOOKUP(D433,GL_Accounts!$A$2:$E$1048576,5,FALSE)</f>
        <v/>
      </c>
      <c r="R433">
        <f>VLOOKUP(D433,GL_Accounts!$A$2:$E$1048576,4,FALSE)</f>
        <v/>
      </c>
    </row>
    <row r="434">
      <c r="A434" t="inlineStr">
        <is>
          <t>INV200433</t>
        </is>
      </c>
      <c r="B434" t="n">
        <v>1</v>
      </c>
      <c r="C434" t="inlineStr">
        <is>
          <t>V0001</t>
        </is>
      </c>
      <c r="D434" t="n">
        <v>2</v>
      </c>
      <c r="E434" t="n">
        <v>60110</v>
      </c>
      <c r="F434" t="inlineStr">
        <is>
          <t>PO100337</t>
        </is>
      </c>
      <c r="G434" t="n">
        <v>20250228</v>
      </c>
      <c r="H434" t="inlineStr">
        <is>
          <t>2025-02-28</t>
        </is>
      </c>
      <c r="I434" t="n">
        <v>20250330</v>
      </c>
      <c r="J434" t="inlineStr">
        <is>
          <t>2025-03-30</t>
        </is>
      </c>
      <c r="K434" s="9" t="n">
        <v>14984.03</v>
      </c>
      <c r="L434" t="inlineStr">
        <is>
          <t>USD</t>
        </is>
      </c>
      <c r="M434" s="4" t="n">
        <v>14984.03</v>
      </c>
      <c r="N434" t="inlineStr">
        <is>
          <t>Paid</t>
        </is>
      </c>
      <c r="O434" t="inlineStr">
        <is>
          <t>False</t>
        </is>
      </c>
      <c r="P434" t="n">
        <v>30</v>
      </c>
      <c r="Q434">
        <f>VLOOKUP(D434,GL_Accounts!$A$2:$E$1048576,5,FALSE)</f>
        <v/>
      </c>
      <c r="R434">
        <f>VLOOKUP(D434,GL_Accounts!$A$2:$E$1048576,4,FALSE)</f>
        <v/>
      </c>
    </row>
    <row r="435">
      <c r="A435" t="inlineStr">
        <is>
          <t>INV200434</t>
        </is>
      </c>
      <c r="B435" t="n">
        <v>1</v>
      </c>
      <c r="C435" t="inlineStr">
        <is>
          <t>V0001</t>
        </is>
      </c>
      <c r="D435" t="n">
        <v>4</v>
      </c>
      <c r="E435" t="n">
        <v>60200</v>
      </c>
      <c r="F435" t="inlineStr">
        <is>
          <t>PO100337</t>
        </is>
      </c>
      <c r="G435" t="n">
        <v>20250316</v>
      </c>
      <c r="H435" t="inlineStr">
        <is>
          <t>2025-03-16</t>
        </is>
      </c>
      <c r="I435" t="n">
        <v>20250415</v>
      </c>
      <c r="J435" t="inlineStr">
        <is>
          <t>2025-04-15</t>
        </is>
      </c>
      <c r="K435" s="9" t="n">
        <v>11483.73</v>
      </c>
      <c r="L435" t="inlineStr">
        <is>
          <t>USD</t>
        </is>
      </c>
      <c r="M435" s="4" t="n">
        <v>11483.73</v>
      </c>
      <c r="N435" t="inlineStr">
        <is>
          <t>Paid</t>
        </is>
      </c>
      <c r="O435" t="inlineStr">
        <is>
          <t>False</t>
        </is>
      </c>
      <c r="P435" t="n">
        <v>30</v>
      </c>
      <c r="Q435">
        <f>VLOOKUP(D435,GL_Accounts!$A$2:$E$1048576,5,FALSE)</f>
        <v/>
      </c>
      <c r="R435">
        <f>VLOOKUP(D435,GL_Accounts!$A$2:$E$1048576,4,FALSE)</f>
        <v/>
      </c>
    </row>
    <row r="436">
      <c r="A436" t="inlineStr">
        <is>
          <t>INV200435</t>
        </is>
      </c>
      <c r="B436" t="n">
        <v>30</v>
      </c>
      <c r="C436" t="inlineStr">
        <is>
          <t>V0030</t>
        </is>
      </c>
      <c r="D436" t="n">
        <v>17</v>
      </c>
      <c r="E436" t="n">
        <v>64100</v>
      </c>
      <c r="F436" t="inlineStr">
        <is>
          <t>PO100338</t>
        </is>
      </c>
      <c r="G436" t="n">
        <v>20260614</v>
      </c>
      <c r="H436" t="inlineStr">
        <is>
          <t>2026-06-14</t>
        </is>
      </c>
      <c r="I436" t="n">
        <v>20260714</v>
      </c>
      <c r="J436" t="inlineStr">
        <is>
          <t>2026-07-14</t>
        </is>
      </c>
      <c r="K436" s="9" t="n">
        <v>17011.67</v>
      </c>
      <c r="L436" t="inlineStr">
        <is>
          <t>USD</t>
        </is>
      </c>
      <c r="M436" s="4" t="n">
        <v>17011.67</v>
      </c>
      <c r="N436" t="inlineStr">
        <is>
          <t>Paid</t>
        </is>
      </c>
      <c r="O436" t="inlineStr">
        <is>
          <t>False</t>
        </is>
      </c>
      <c r="P436" t="n">
        <v>30</v>
      </c>
      <c r="Q436">
        <f>VLOOKUP(D436,GL_Accounts!$A$2:$E$1048576,5,FALSE)</f>
        <v/>
      </c>
      <c r="R436">
        <f>VLOOKUP(D436,GL_Accounts!$A$2:$E$1048576,4,FALSE)</f>
        <v/>
      </c>
    </row>
    <row r="437">
      <c r="A437" t="inlineStr">
        <is>
          <t>INV200436</t>
        </is>
      </c>
      <c r="B437" t="n">
        <v>30</v>
      </c>
      <c r="C437" t="inlineStr">
        <is>
          <t>V0030</t>
        </is>
      </c>
      <c r="D437" t="n">
        <v>17</v>
      </c>
      <c r="E437" t="n">
        <v>64100</v>
      </c>
      <c r="F437" t="inlineStr">
        <is>
          <t>PO100338</t>
        </is>
      </c>
      <c r="G437" t="n">
        <v>20260718</v>
      </c>
      <c r="H437" t="inlineStr">
        <is>
          <t>2026-07-18</t>
        </is>
      </c>
      <c r="I437" t="n">
        <v>20260817</v>
      </c>
      <c r="J437" t="inlineStr">
        <is>
          <t>2026-08-17</t>
        </is>
      </c>
      <c r="K437" s="9" t="n">
        <v>47597.23</v>
      </c>
      <c r="L437" t="inlineStr">
        <is>
          <t>USD</t>
        </is>
      </c>
      <c r="M437" s="4" t="n">
        <v>47597.23</v>
      </c>
      <c r="N437" t="inlineStr">
        <is>
          <t>Unpaid</t>
        </is>
      </c>
      <c r="O437" t="inlineStr">
        <is>
          <t>False</t>
        </is>
      </c>
      <c r="P437" t="n">
        <v>30</v>
      </c>
      <c r="Q437">
        <f>VLOOKUP(D437,GL_Accounts!$A$2:$E$1048576,5,FALSE)</f>
        <v/>
      </c>
      <c r="R437">
        <f>VLOOKUP(D437,GL_Accounts!$A$2:$E$1048576,4,FALSE)</f>
        <v/>
      </c>
    </row>
    <row r="438">
      <c r="A438" t="inlineStr">
        <is>
          <t>INV200437</t>
        </is>
      </c>
      <c r="B438" t="n">
        <v>4</v>
      </c>
      <c r="C438" t="inlineStr">
        <is>
          <t>V0004</t>
        </is>
      </c>
      <c r="D438" t="n">
        <v>1</v>
      </c>
      <c r="E438" t="n">
        <v>60100</v>
      </c>
      <c r="F438" t="inlineStr">
        <is>
          <t>PO100339</t>
        </is>
      </c>
      <c r="G438" t="n">
        <v>20250211</v>
      </c>
      <c r="H438" t="inlineStr">
        <is>
          <t>2025-02-11</t>
        </is>
      </c>
      <c r="I438" t="n">
        <v>20250313</v>
      </c>
      <c r="J438" t="inlineStr">
        <is>
          <t>2025-03-13</t>
        </is>
      </c>
      <c r="K438" s="9" t="n">
        <v>12501.33</v>
      </c>
      <c r="L438" t="inlineStr">
        <is>
          <t>GBP</t>
        </is>
      </c>
      <c r="M438" s="4" t="n">
        <v>15876.69</v>
      </c>
      <c r="N438" t="inlineStr">
        <is>
          <t>Paid</t>
        </is>
      </c>
      <c r="O438" t="inlineStr">
        <is>
          <t>False</t>
        </is>
      </c>
      <c r="P438" t="n">
        <v>30</v>
      </c>
      <c r="Q438">
        <f>VLOOKUP(D438,GL_Accounts!$A$2:$E$1048576,5,FALSE)</f>
        <v/>
      </c>
      <c r="R438">
        <f>VLOOKUP(D438,GL_Accounts!$A$2:$E$1048576,4,FALSE)</f>
        <v/>
      </c>
    </row>
    <row r="439">
      <c r="A439" t="inlineStr">
        <is>
          <t>INV200438</t>
        </is>
      </c>
      <c r="B439" t="n">
        <v>17</v>
      </c>
      <c r="C439" t="inlineStr">
        <is>
          <t>V0017</t>
        </is>
      </c>
      <c r="D439" t="n">
        <v>6</v>
      </c>
      <c r="E439" t="n">
        <v>61100</v>
      </c>
      <c r="F439" t="inlineStr">
        <is>
          <t>PO100340</t>
        </is>
      </c>
      <c r="G439" t="n">
        <v>20250828</v>
      </c>
      <c r="H439" t="inlineStr">
        <is>
          <t>2025-08-28</t>
        </is>
      </c>
      <c r="I439" t="n">
        <v>20251012</v>
      </c>
      <c r="J439" t="inlineStr">
        <is>
          <t>2025-10-12</t>
        </is>
      </c>
      <c r="K439" s="9" t="n">
        <v>5385.63</v>
      </c>
      <c r="L439" t="inlineStr">
        <is>
          <t>USD</t>
        </is>
      </c>
      <c r="M439" s="4" t="n">
        <v>5385.63</v>
      </c>
      <c r="N439" t="inlineStr">
        <is>
          <t>Paid</t>
        </is>
      </c>
      <c r="O439" t="inlineStr">
        <is>
          <t>False</t>
        </is>
      </c>
      <c r="P439" t="n">
        <v>45</v>
      </c>
      <c r="Q439">
        <f>VLOOKUP(D439,GL_Accounts!$A$2:$E$1048576,5,FALSE)</f>
        <v/>
      </c>
      <c r="R439">
        <f>VLOOKUP(D439,GL_Accounts!$A$2:$E$1048576,4,FALSE)</f>
        <v/>
      </c>
    </row>
    <row r="440">
      <c r="A440" t="inlineStr">
        <is>
          <t>INV200439</t>
        </is>
      </c>
      <c r="B440" t="n">
        <v>48</v>
      </c>
      <c r="C440" t="inlineStr">
        <is>
          <t>V0048</t>
        </is>
      </c>
      <c r="D440" t="n">
        <v>1</v>
      </c>
      <c r="E440" t="n">
        <v>60100</v>
      </c>
      <c r="F440" t="inlineStr">
        <is>
          <t>PO100341</t>
        </is>
      </c>
      <c r="G440" t="n">
        <v>20250414</v>
      </c>
      <c r="H440" t="inlineStr">
        <is>
          <t>2025-04-14</t>
        </is>
      </c>
      <c r="I440" t="n">
        <v>20250529</v>
      </c>
      <c r="J440" t="inlineStr">
        <is>
          <t>2025-05-29</t>
        </is>
      </c>
      <c r="K440" s="9" t="n">
        <v>16882.59</v>
      </c>
      <c r="L440" t="inlineStr">
        <is>
          <t>USD</t>
        </is>
      </c>
      <c r="M440" s="4" t="n">
        <v>16882.59</v>
      </c>
      <c r="N440" t="inlineStr">
        <is>
          <t>Paid</t>
        </is>
      </c>
      <c r="O440" t="inlineStr">
        <is>
          <t>False</t>
        </is>
      </c>
      <c r="P440" t="n">
        <v>45</v>
      </c>
      <c r="Q440">
        <f>VLOOKUP(D440,GL_Accounts!$A$2:$E$1048576,5,FALSE)</f>
        <v/>
      </c>
      <c r="R440">
        <f>VLOOKUP(D440,GL_Accounts!$A$2:$E$1048576,4,FALSE)</f>
        <v/>
      </c>
    </row>
    <row r="441">
      <c r="A441" t="inlineStr">
        <is>
          <t>INV200440</t>
        </is>
      </c>
      <c r="B441" t="n">
        <v>48</v>
      </c>
      <c r="C441" t="inlineStr">
        <is>
          <t>V0048</t>
        </is>
      </c>
      <c r="D441" t="n">
        <v>4</v>
      </c>
      <c r="E441" t="n">
        <v>60200</v>
      </c>
      <c r="F441" t="inlineStr">
        <is>
          <t>PO100341</t>
        </is>
      </c>
      <c r="G441" t="n">
        <v>20250507</v>
      </c>
      <c r="H441" t="inlineStr">
        <is>
          <t>2025-05-07</t>
        </is>
      </c>
      <c r="I441" t="n">
        <v>20250621</v>
      </c>
      <c r="J441" t="inlineStr">
        <is>
          <t>2025-06-21</t>
        </is>
      </c>
      <c r="K441" s="9" t="n">
        <v>5333.64</v>
      </c>
      <c r="L441" t="inlineStr">
        <is>
          <t>USD</t>
        </is>
      </c>
      <c r="M441" s="4" t="n">
        <v>5333.64</v>
      </c>
      <c r="N441" t="inlineStr">
        <is>
          <t>Paid</t>
        </is>
      </c>
      <c r="O441" t="inlineStr">
        <is>
          <t>False</t>
        </is>
      </c>
      <c r="P441" t="n">
        <v>45</v>
      </c>
      <c r="Q441">
        <f>VLOOKUP(D441,GL_Accounts!$A$2:$E$1048576,5,FALSE)</f>
        <v/>
      </c>
      <c r="R441">
        <f>VLOOKUP(D441,GL_Accounts!$A$2:$E$1048576,4,FALSE)</f>
        <v/>
      </c>
    </row>
    <row r="442">
      <c r="A442" t="inlineStr">
        <is>
          <t>INV200441</t>
        </is>
      </c>
      <c r="B442" t="n">
        <v>48</v>
      </c>
      <c r="C442" t="inlineStr">
        <is>
          <t>V0048</t>
        </is>
      </c>
      <c r="D442" t="n">
        <v>4</v>
      </c>
      <c r="E442" t="n">
        <v>60200</v>
      </c>
      <c r="F442" t="inlineStr">
        <is>
          <t>PO100341</t>
        </is>
      </c>
      <c r="G442" t="n">
        <v>20250616</v>
      </c>
      <c r="H442" t="inlineStr">
        <is>
          <t>2025-06-16</t>
        </is>
      </c>
      <c r="I442" t="n">
        <v>20250731</v>
      </c>
      <c r="J442" t="inlineStr">
        <is>
          <t>2025-07-31</t>
        </is>
      </c>
      <c r="K442" s="9" t="n">
        <v>7469.49</v>
      </c>
      <c r="L442" t="inlineStr">
        <is>
          <t>USD</t>
        </is>
      </c>
      <c r="M442" s="4" t="n">
        <v>7469.49</v>
      </c>
      <c r="N442" t="inlineStr">
        <is>
          <t>Paid</t>
        </is>
      </c>
      <c r="O442" t="inlineStr">
        <is>
          <t>False</t>
        </is>
      </c>
      <c r="P442" t="n">
        <v>45</v>
      </c>
      <c r="Q442">
        <f>VLOOKUP(D442,GL_Accounts!$A$2:$E$1048576,5,FALSE)</f>
        <v/>
      </c>
      <c r="R442">
        <f>VLOOKUP(D442,GL_Accounts!$A$2:$E$1048576,4,FALSE)</f>
        <v/>
      </c>
    </row>
    <row r="443">
      <c r="A443" t="inlineStr">
        <is>
          <t>INV200442</t>
        </is>
      </c>
      <c r="B443" t="n">
        <v>9</v>
      </c>
      <c r="C443" t="inlineStr">
        <is>
          <t>V0009</t>
        </is>
      </c>
      <c r="D443" t="n">
        <v>6</v>
      </c>
      <c r="E443" t="n">
        <v>61100</v>
      </c>
      <c r="F443" t="inlineStr">
        <is>
          <t>PO100342</t>
        </is>
      </c>
      <c r="G443" t="n">
        <v>20250824</v>
      </c>
      <c r="H443" t="inlineStr">
        <is>
          <t>2025-08-24</t>
        </is>
      </c>
      <c r="I443" t="n">
        <v>20250908</v>
      </c>
      <c r="J443" t="inlineStr">
        <is>
          <t>2025-09-08</t>
        </is>
      </c>
      <c r="K443" s="9" t="n">
        <v>1880.38</v>
      </c>
      <c r="L443" t="inlineStr">
        <is>
          <t>USD</t>
        </is>
      </c>
      <c r="M443" s="4" t="n">
        <v>1880.38</v>
      </c>
      <c r="N443" t="inlineStr">
        <is>
          <t>Paid</t>
        </is>
      </c>
      <c r="O443" t="inlineStr">
        <is>
          <t>False</t>
        </is>
      </c>
      <c r="P443" t="n">
        <v>15</v>
      </c>
      <c r="Q443">
        <f>VLOOKUP(D443,GL_Accounts!$A$2:$E$1048576,5,FALSE)</f>
        <v/>
      </c>
      <c r="R443">
        <f>VLOOKUP(D443,GL_Accounts!$A$2:$E$1048576,4,FALSE)</f>
        <v/>
      </c>
    </row>
    <row r="444">
      <c r="A444" t="inlineStr">
        <is>
          <t>INV200443</t>
        </is>
      </c>
      <c r="B444" t="n">
        <v>9</v>
      </c>
      <c r="C444" t="inlineStr">
        <is>
          <t>V0009</t>
        </is>
      </c>
      <c r="D444" t="n">
        <v>7</v>
      </c>
      <c r="E444" t="n">
        <v>61200</v>
      </c>
      <c r="F444" t="inlineStr">
        <is>
          <t>PO100342</t>
        </is>
      </c>
      <c r="G444" t="n">
        <v>20251006</v>
      </c>
      <c r="H444" t="inlineStr">
        <is>
          <t>2025-10-06</t>
        </is>
      </c>
      <c r="I444" t="n">
        <v>20251021</v>
      </c>
      <c r="J444" t="inlineStr">
        <is>
          <t>2025-10-21</t>
        </is>
      </c>
      <c r="K444" s="9" t="n">
        <v>331.61</v>
      </c>
      <c r="L444" t="inlineStr">
        <is>
          <t>USD</t>
        </is>
      </c>
      <c r="M444" s="4" t="n">
        <v>331.61</v>
      </c>
      <c r="N444" t="inlineStr">
        <is>
          <t>Paid</t>
        </is>
      </c>
      <c r="O444" t="inlineStr">
        <is>
          <t>False</t>
        </is>
      </c>
      <c r="P444" t="n">
        <v>15</v>
      </c>
      <c r="Q444">
        <f>VLOOKUP(D444,GL_Accounts!$A$2:$E$1048576,5,FALSE)</f>
        <v/>
      </c>
      <c r="R444">
        <f>VLOOKUP(D444,GL_Accounts!$A$2:$E$1048576,4,FALSE)</f>
        <v/>
      </c>
    </row>
    <row r="445">
      <c r="A445" t="inlineStr">
        <is>
          <t>INV200444</t>
        </is>
      </c>
      <c r="B445" t="n">
        <v>9</v>
      </c>
      <c r="C445" t="inlineStr">
        <is>
          <t>V0009</t>
        </is>
      </c>
      <c r="D445" t="n">
        <v>7</v>
      </c>
      <c r="E445" t="n">
        <v>61200</v>
      </c>
      <c r="F445" t="inlineStr">
        <is>
          <t>PO100342</t>
        </is>
      </c>
      <c r="G445" t="n">
        <v>20251102</v>
      </c>
      <c r="H445" t="inlineStr">
        <is>
          <t>2025-11-02</t>
        </is>
      </c>
      <c r="I445" t="n">
        <v>20251117</v>
      </c>
      <c r="J445" t="inlineStr">
        <is>
          <t>2025-11-17</t>
        </is>
      </c>
      <c r="K445" s="9" t="n">
        <v>1455.13</v>
      </c>
      <c r="L445" t="inlineStr">
        <is>
          <t>USD</t>
        </is>
      </c>
      <c r="M445" s="4" t="n">
        <v>1455.13</v>
      </c>
      <c r="N445" t="inlineStr">
        <is>
          <t>Paid</t>
        </is>
      </c>
      <c r="O445" t="inlineStr">
        <is>
          <t>False</t>
        </is>
      </c>
      <c r="P445" t="n">
        <v>15</v>
      </c>
      <c r="Q445">
        <f>VLOOKUP(D445,GL_Accounts!$A$2:$E$1048576,5,FALSE)</f>
        <v/>
      </c>
      <c r="R445">
        <f>VLOOKUP(D445,GL_Accounts!$A$2:$E$1048576,4,FALSE)</f>
        <v/>
      </c>
    </row>
    <row r="446">
      <c r="A446" t="inlineStr">
        <is>
          <t>INV200445</t>
        </is>
      </c>
      <c r="B446" t="n">
        <v>35</v>
      </c>
      <c r="C446" t="inlineStr">
        <is>
          <t>V0035</t>
        </is>
      </c>
      <c r="D446" t="n">
        <v>7</v>
      </c>
      <c r="E446" t="n">
        <v>61200</v>
      </c>
      <c r="F446" t="inlineStr">
        <is>
          <t>PO100343</t>
        </is>
      </c>
      <c r="G446" t="n">
        <v>20260807</v>
      </c>
      <c r="H446" t="inlineStr">
        <is>
          <t>2026-08-07</t>
        </is>
      </c>
      <c r="I446" t="n">
        <v>20260906</v>
      </c>
      <c r="J446" t="inlineStr">
        <is>
          <t>2026-09-06</t>
        </is>
      </c>
      <c r="K446" s="9" t="n">
        <v>10005.14</v>
      </c>
      <c r="L446" t="inlineStr">
        <is>
          <t>GBP</t>
        </is>
      </c>
      <c r="M446" s="4" t="n">
        <v>12706.53</v>
      </c>
      <c r="N446" t="inlineStr">
        <is>
          <t>Unpaid</t>
        </is>
      </c>
      <c r="O446" t="inlineStr">
        <is>
          <t>False</t>
        </is>
      </c>
      <c r="P446" t="n">
        <v>30</v>
      </c>
      <c r="Q446">
        <f>VLOOKUP(D446,GL_Accounts!$A$2:$E$1048576,5,FALSE)</f>
        <v/>
      </c>
      <c r="R446">
        <f>VLOOKUP(D446,GL_Accounts!$A$2:$E$1048576,4,FALSE)</f>
        <v/>
      </c>
    </row>
    <row r="447">
      <c r="A447" t="inlineStr">
        <is>
          <t>INV200446</t>
        </is>
      </c>
      <c r="B447" t="n">
        <v>27</v>
      </c>
      <c r="C447" t="inlineStr">
        <is>
          <t>V0027</t>
        </is>
      </c>
      <c r="D447" t="n">
        <v>9</v>
      </c>
      <c r="E447" t="n">
        <v>61400</v>
      </c>
      <c r="F447" t="inlineStr">
        <is>
          <t>PO100344</t>
        </is>
      </c>
      <c r="G447" t="n">
        <v>20260325</v>
      </c>
      <c r="H447" t="inlineStr">
        <is>
          <t>2026-03-25</t>
        </is>
      </c>
      <c r="I447" t="n">
        <v>20260424</v>
      </c>
      <c r="J447" t="inlineStr">
        <is>
          <t>2026-04-24</t>
        </is>
      </c>
      <c r="K447" s="9" t="n">
        <v>26279.06</v>
      </c>
      <c r="L447" t="inlineStr">
        <is>
          <t>USD</t>
        </is>
      </c>
      <c r="M447" s="4" t="n">
        <v>26279.06</v>
      </c>
      <c r="N447" t="inlineStr">
        <is>
          <t>Paid</t>
        </is>
      </c>
      <c r="O447" t="inlineStr">
        <is>
          <t>False</t>
        </is>
      </c>
      <c r="P447" t="n">
        <v>30</v>
      </c>
      <c r="Q447">
        <f>VLOOKUP(D447,GL_Accounts!$A$2:$E$1048576,5,FALSE)</f>
        <v/>
      </c>
      <c r="R447">
        <f>VLOOKUP(D447,GL_Accounts!$A$2:$E$1048576,4,FALSE)</f>
        <v/>
      </c>
    </row>
    <row r="448">
      <c r="A448" t="inlineStr">
        <is>
          <t>INV200447</t>
        </is>
      </c>
      <c r="B448" t="n">
        <v>1</v>
      </c>
      <c r="C448" t="inlineStr">
        <is>
          <t>V0001</t>
        </is>
      </c>
      <c r="D448" t="n">
        <v>2</v>
      </c>
      <c r="E448" t="n">
        <v>60110</v>
      </c>
      <c r="F448" t="inlineStr">
        <is>
          <t>PO100345</t>
        </is>
      </c>
      <c r="G448" t="n">
        <v>20250323</v>
      </c>
      <c r="H448" t="inlineStr">
        <is>
          <t>2025-03-23</t>
        </is>
      </c>
      <c r="I448" t="n">
        <v>20250422</v>
      </c>
      <c r="J448" t="inlineStr">
        <is>
          <t>2025-04-22</t>
        </is>
      </c>
      <c r="K448" s="9" t="n">
        <v>40441.47</v>
      </c>
      <c r="L448" t="inlineStr">
        <is>
          <t>USD</t>
        </is>
      </c>
      <c r="M448" s="4" t="n">
        <v>40441.47</v>
      </c>
      <c r="N448" t="inlineStr">
        <is>
          <t>Paid</t>
        </is>
      </c>
      <c r="O448" t="inlineStr">
        <is>
          <t>False</t>
        </is>
      </c>
      <c r="P448" t="n">
        <v>30</v>
      </c>
      <c r="Q448">
        <f>VLOOKUP(D448,GL_Accounts!$A$2:$E$1048576,5,FALSE)</f>
        <v/>
      </c>
      <c r="R448">
        <f>VLOOKUP(D448,GL_Accounts!$A$2:$E$1048576,4,FALSE)</f>
        <v/>
      </c>
    </row>
    <row r="449">
      <c r="A449" t="inlineStr">
        <is>
          <t>INV200448</t>
        </is>
      </c>
      <c r="B449" t="n">
        <v>32</v>
      </c>
      <c r="C449" t="inlineStr">
        <is>
          <t>V0032</t>
        </is>
      </c>
      <c r="D449" t="n">
        <v>6</v>
      </c>
      <c r="E449" t="n">
        <v>61100</v>
      </c>
      <c r="F449" t="inlineStr">
        <is>
          <t>PO100346</t>
        </is>
      </c>
      <c r="G449" t="n">
        <v>20241127</v>
      </c>
      <c r="H449" t="inlineStr">
        <is>
          <t>2024-11-27</t>
        </is>
      </c>
      <c r="I449" t="n">
        <v>20250111</v>
      </c>
      <c r="J449" t="inlineStr">
        <is>
          <t>2025-01-11</t>
        </is>
      </c>
      <c r="K449" s="9" t="n">
        <v>4247.84</v>
      </c>
      <c r="L449" t="inlineStr">
        <is>
          <t>USD</t>
        </is>
      </c>
      <c r="M449" s="4" t="n">
        <v>4247.84</v>
      </c>
      <c r="N449" t="inlineStr">
        <is>
          <t>Paid</t>
        </is>
      </c>
      <c r="O449" t="inlineStr">
        <is>
          <t>False</t>
        </is>
      </c>
      <c r="P449" t="n">
        <v>45</v>
      </c>
      <c r="Q449">
        <f>VLOOKUP(D449,GL_Accounts!$A$2:$E$1048576,5,FALSE)</f>
        <v/>
      </c>
      <c r="R449">
        <f>VLOOKUP(D449,GL_Accounts!$A$2:$E$1048576,4,FALSE)</f>
        <v/>
      </c>
    </row>
    <row r="450">
      <c r="A450" t="inlineStr">
        <is>
          <t>INV200449</t>
        </is>
      </c>
      <c r="B450" t="n">
        <v>62</v>
      </c>
      <c r="C450" t="inlineStr">
        <is>
          <t>V0002</t>
        </is>
      </c>
      <c r="D450" t="n">
        <v>12</v>
      </c>
      <c r="E450" t="n">
        <v>62300</v>
      </c>
      <c r="F450" t="inlineStr">
        <is>
          <t>PO100347</t>
        </is>
      </c>
      <c r="G450" t="n">
        <v>20260129</v>
      </c>
      <c r="H450" t="inlineStr">
        <is>
          <t>2026-01-29</t>
        </is>
      </c>
      <c r="I450" t="n">
        <v>20260228</v>
      </c>
      <c r="J450" t="inlineStr">
        <is>
          <t>2026-02-28</t>
        </is>
      </c>
      <c r="K450" s="9" t="n">
        <v>127.61</v>
      </c>
      <c r="L450" t="inlineStr">
        <is>
          <t>USD</t>
        </is>
      </c>
      <c r="M450" s="4" t="n">
        <v>127.61</v>
      </c>
      <c r="N450" t="inlineStr">
        <is>
          <t>Paid</t>
        </is>
      </c>
      <c r="O450" t="inlineStr">
        <is>
          <t>False</t>
        </is>
      </c>
      <c r="P450" t="n">
        <v>30</v>
      </c>
      <c r="Q450">
        <f>VLOOKUP(D450,GL_Accounts!$A$2:$E$1048576,5,FALSE)</f>
        <v/>
      </c>
      <c r="R450">
        <f>VLOOKUP(D450,GL_Accounts!$A$2:$E$1048576,4,FALSE)</f>
        <v/>
      </c>
    </row>
    <row r="451">
      <c r="A451" t="inlineStr">
        <is>
          <t>INV200450</t>
        </is>
      </c>
      <c r="B451" t="n">
        <v>62</v>
      </c>
      <c r="C451" t="inlineStr">
        <is>
          <t>V0002</t>
        </is>
      </c>
      <c r="D451" t="n">
        <v>11</v>
      </c>
      <c r="E451" t="n">
        <v>62200</v>
      </c>
      <c r="F451" t="inlineStr">
        <is>
          <t>PO100347</t>
        </is>
      </c>
      <c r="G451" t="n">
        <v>20260223</v>
      </c>
      <c r="H451" t="inlineStr">
        <is>
          <t>2026-02-23</t>
        </is>
      </c>
      <c r="I451" t="n">
        <v>20260325</v>
      </c>
      <c r="J451" t="inlineStr">
        <is>
          <t>2026-03-25</t>
        </is>
      </c>
      <c r="K451" s="9" t="n">
        <v>65.75</v>
      </c>
      <c r="L451" t="inlineStr">
        <is>
          <t>USD</t>
        </is>
      </c>
      <c r="M451" s="4" t="n">
        <v>65.75</v>
      </c>
      <c r="N451" t="inlineStr">
        <is>
          <t>Paid</t>
        </is>
      </c>
      <c r="O451" t="inlineStr">
        <is>
          <t>False</t>
        </is>
      </c>
      <c r="P451" t="n">
        <v>30</v>
      </c>
      <c r="Q451">
        <f>VLOOKUP(D451,GL_Accounts!$A$2:$E$1048576,5,FALSE)</f>
        <v/>
      </c>
      <c r="R451">
        <f>VLOOKUP(D451,GL_Accounts!$A$2:$E$1048576,4,FALSE)</f>
        <v/>
      </c>
    </row>
    <row r="452">
      <c r="A452" t="inlineStr">
        <is>
          <t>INV200451</t>
        </is>
      </c>
      <c r="B452" t="n">
        <v>62</v>
      </c>
      <c r="C452" t="inlineStr">
        <is>
          <t>V0002</t>
        </is>
      </c>
      <c r="D452" t="n">
        <v>11</v>
      </c>
      <c r="E452" t="n">
        <v>62200</v>
      </c>
      <c r="F452" t="inlineStr">
        <is>
          <t>PO100347</t>
        </is>
      </c>
      <c r="G452" t="n">
        <v>20260328</v>
      </c>
      <c r="H452" t="inlineStr">
        <is>
          <t>2026-03-28</t>
        </is>
      </c>
      <c r="I452" t="n">
        <v>20260427</v>
      </c>
      <c r="J452" t="inlineStr">
        <is>
          <t>2026-04-27</t>
        </is>
      </c>
      <c r="K452" s="9" t="n">
        <v>439.49</v>
      </c>
      <c r="L452" t="inlineStr">
        <is>
          <t>USD</t>
        </is>
      </c>
      <c r="M452" s="4" t="n">
        <v>439.49</v>
      </c>
      <c r="N452" t="inlineStr">
        <is>
          <t>Paid</t>
        </is>
      </c>
      <c r="O452" t="inlineStr">
        <is>
          <t>False</t>
        </is>
      </c>
      <c r="P452" t="n">
        <v>30</v>
      </c>
      <c r="Q452">
        <f>VLOOKUP(D452,GL_Accounts!$A$2:$E$1048576,5,FALSE)</f>
        <v/>
      </c>
      <c r="R452">
        <f>VLOOKUP(D452,GL_Accounts!$A$2:$E$1048576,4,FALSE)</f>
        <v/>
      </c>
    </row>
    <row r="453">
      <c r="A453" t="inlineStr">
        <is>
          <t>INV200452</t>
        </is>
      </c>
      <c r="B453" t="n">
        <v>48</v>
      </c>
      <c r="C453" t="inlineStr">
        <is>
          <t>V0048</t>
        </is>
      </c>
      <c r="D453" t="n">
        <v>2</v>
      </c>
      <c r="E453" t="n">
        <v>60110</v>
      </c>
      <c r="F453" t="inlineStr">
        <is>
          <t>PO100348</t>
        </is>
      </c>
      <c r="G453" t="n">
        <v>20251214</v>
      </c>
      <c r="H453" t="inlineStr">
        <is>
          <t>2025-12-14</t>
        </is>
      </c>
      <c r="I453" t="n">
        <v>20260128</v>
      </c>
      <c r="J453" t="inlineStr">
        <is>
          <t>2026-01-28</t>
        </is>
      </c>
      <c r="K453" s="9" t="n">
        <v>99497.59</v>
      </c>
      <c r="L453" t="inlineStr">
        <is>
          <t>USD</t>
        </is>
      </c>
      <c r="M453" s="4" t="n">
        <v>99497.59</v>
      </c>
      <c r="N453" t="inlineStr">
        <is>
          <t>Paid</t>
        </is>
      </c>
      <c r="O453" t="inlineStr">
        <is>
          <t>False</t>
        </is>
      </c>
      <c r="P453" t="n">
        <v>45</v>
      </c>
      <c r="Q453">
        <f>VLOOKUP(D453,GL_Accounts!$A$2:$E$1048576,5,FALSE)</f>
        <v/>
      </c>
      <c r="R453">
        <f>VLOOKUP(D453,GL_Accounts!$A$2:$E$1048576,4,FALSE)</f>
        <v/>
      </c>
    </row>
    <row r="454">
      <c r="A454" t="inlineStr">
        <is>
          <t>INV200453</t>
        </is>
      </c>
      <c r="B454" t="n">
        <v>27</v>
      </c>
      <c r="C454" t="inlineStr">
        <is>
          <t>V0027</t>
        </is>
      </c>
      <c r="D454" t="n">
        <v>7</v>
      </c>
      <c r="E454" t="n">
        <v>61200</v>
      </c>
      <c r="F454" t="inlineStr">
        <is>
          <t>PO100349</t>
        </is>
      </c>
      <c r="G454" t="n">
        <v>20251015</v>
      </c>
      <c r="H454" t="inlineStr">
        <is>
          <t>2025-10-15</t>
        </is>
      </c>
      <c r="I454" t="n">
        <v>20251114</v>
      </c>
      <c r="J454" t="inlineStr">
        <is>
          <t>2025-11-14</t>
        </is>
      </c>
      <c r="K454" s="9" t="n">
        <v>592.67</v>
      </c>
      <c r="L454" t="inlineStr">
        <is>
          <t>USD</t>
        </is>
      </c>
      <c r="M454" s="4" t="n">
        <v>592.67</v>
      </c>
      <c r="N454" t="inlineStr">
        <is>
          <t>Unpaid</t>
        </is>
      </c>
      <c r="O454" t="inlineStr">
        <is>
          <t>False</t>
        </is>
      </c>
      <c r="P454" t="n">
        <v>30</v>
      </c>
      <c r="Q454">
        <f>VLOOKUP(D454,GL_Accounts!$A$2:$E$1048576,5,FALSE)</f>
        <v/>
      </c>
      <c r="R454">
        <f>VLOOKUP(D454,GL_Accounts!$A$2:$E$1048576,4,FALSE)</f>
        <v/>
      </c>
    </row>
    <row r="455">
      <c r="A455" t="inlineStr">
        <is>
          <t>INV200454</t>
        </is>
      </c>
      <c r="B455" t="n">
        <v>27</v>
      </c>
      <c r="C455" t="inlineStr">
        <is>
          <t>V0027</t>
        </is>
      </c>
      <c r="D455" t="n">
        <v>8</v>
      </c>
      <c r="E455" t="n">
        <v>61300</v>
      </c>
      <c r="F455" t="inlineStr">
        <is>
          <t>PO100349</t>
        </is>
      </c>
      <c r="G455" t="n">
        <v>20251102</v>
      </c>
      <c r="H455" t="inlineStr">
        <is>
          <t>2025-11-02</t>
        </is>
      </c>
      <c r="I455" t="n">
        <v>20251202</v>
      </c>
      <c r="J455" t="inlineStr">
        <is>
          <t>2025-12-02</t>
        </is>
      </c>
      <c r="K455" s="9" t="n">
        <v>1629.76</v>
      </c>
      <c r="L455" t="inlineStr">
        <is>
          <t>USD</t>
        </is>
      </c>
      <c r="M455" s="4" t="n">
        <v>1629.76</v>
      </c>
      <c r="N455" t="inlineStr">
        <is>
          <t>Paid</t>
        </is>
      </c>
      <c r="O455" t="inlineStr">
        <is>
          <t>False</t>
        </is>
      </c>
      <c r="P455" t="n">
        <v>30</v>
      </c>
      <c r="Q455">
        <f>VLOOKUP(D455,GL_Accounts!$A$2:$E$1048576,5,FALSE)</f>
        <v/>
      </c>
      <c r="R455">
        <f>VLOOKUP(D455,GL_Accounts!$A$2:$E$1048576,4,FALSE)</f>
        <v/>
      </c>
    </row>
    <row r="456">
      <c r="A456" t="inlineStr">
        <is>
          <t>INV200455</t>
        </is>
      </c>
      <c r="B456" t="n">
        <v>21</v>
      </c>
      <c r="C456" t="inlineStr">
        <is>
          <t>V0021</t>
        </is>
      </c>
      <c r="D456" t="n">
        <v>8</v>
      </c>
      <c r="E456" t="n">
        <v>61300</v>
      </c>
      <c r="F456" t="inlineStr">
        <is>
          <t>PO100350</t>
        </is>
      </c>
      <c r="G456" t="n">
        <v>20260103</v>
      </c>
      <c r="H456" t="inlineStr">
        <is>
          <t>2026-01-03</t>
        </is>
      </c>
      <c r="I456" t="n">
        <v>20260304</v>
      </c>
      <c r="J456" t="inlineStr">
        <is>
          <t>2026-03-04</t>
        </is>
      </c>
      <c r="K456" s="9" t="n">
        <v>17237.27</v>
      </c>
      <c r="L456" t="inlineStr">
        <is>
          <t>USD</t>
        </is>
      </c>
      <c r="M456" s="4" t="n">
        <v>17237.27</v>
      </c>
      <c r="N456" t="inlineStr">
        <is>
          <t>Paid</t>
        </is>
      </c>
      <c r="O456" t="inlineStr">
        <is>
          <t>False</t>
        </is>
      </c>
      <c r="P456" t="n">
        <v>60</v>
      </c>
      <c r="Q456">
        <f>VLOOKUP(D456,GL_Accounts!$A$2:$E$1048576,5,FALSE)</f>
        <v/>
      </c>
      <c r="R456">
        <f>VLOOKUP(D456,GL_Accounts!$A$2:$E$1048576,4,FALSE)</f>
        <v/>
      </c>
    </row>
    <row r="457">
      <c r="A457" t="inlineStr">
        <is>
          <t>INV200456</t>
        </is>
      </c>
      <c r="B457" t="n">
        <v>34</v>
      </c>
      <c r="C457" t="inlineStr">
        <is>
          <t>V0034</t>
        </is>
      </c>
      <c r="D457" t="n">
        <v>20</v>
      </c>
      <c r="E457" t="n">
        <v>65100</v>
      </c>
      <c r="F457" t="inlineStr">
        <is>
          <t>PO100351</t>
        </is>
      </c>
      <c r="G457" t="n">
        <v>20260410</v>
      </c>
      <c r="H457" t="inlineStr">
        <is>
          <t>2026-04-10</t>
        </is>
      </c>
      <c r="I457" t="n">
        <v>20260425</v>
      </c>
      <c r="J457" t="inlineStr">
        <is>
          <t>2026-04-25</t>
        </is>
      </c>
      <c r="K457" s="9" t="n">
        <v>174.88</v>
      </c>
      <c r="L457" t="inlineStr">
        <is>
          <t>EUR</t>
        </is>
      </c>
      <c r="M457" s="4" t="n">
        <v>188.87</v>
      </c>
      <c r="N457" t="inlineStr">
        <is>
          <t>Paid</t>
        </is>
      </c>
      <c r="O457" t="inlineStr">
        <is>
          <t>False</t>
        </is>
      </c>
      <c r="P457" t="n">
        <v>15</v>
      </c>
      <c r="Q457">
        <f>VLOOKUP(D457,GL_Accounts!$A$2:$E$1048576,5,FALSE)</f>
        <v/>
      </c>
      <c r="R457">
        <f>VLOOKUP(D457,GL_Accounts!$A$2:$E$1048576,4,FALSE)</f>
        <v/>
      </c>
    </row>
    <row r="458">
      <c r="A458" t="inlineStr">
        <is>
          <t>INV200457</t>
        </is>
      </c>
      <c r="B458" t="n">
        <v>34</v>
      </c>
      <c r="C458" t="inlineStr">
        <is>
          <t>V0034</t>
        </is>
      </c>
      <c r="D458" t="n">
        <v>20</v>
      </c>
      <c r="E458" t="n">
        <v>65100</v>
      </c>
      <c r="F458" t="inlineStr">
        <is>
          <t>PO100351</t>
        </is>
      </c>
      <c r="G458" t="n">
        <v>20260420</v>
      </c>
      <c r="H458" t="inlineStr">
        <is>
          <t>2026-04-20</t>
        </is>
      </c>
      <c r="I458" t="n">
        <v>20260505</v>
      </c>
      <c r="J458" t="inlineStr">
        <is>
          <t>2026-05-05</t>
        </is>
      </c>
      <c r="K458" s="9" t="n">
        <v>135.83</v>
      </c>
      <c r="L458" t="inlineStr">
        <is>
          <t>EUR</t>
        </is>
      </c>
      <c r="M458" s="4" t="n">
        <v>146.7</v>
      </c>
      <c r="N458" t="inlineStr">
        <is>
          <t>Paid</t>
        </is>
      </c>
      <c r="O458" t="inlineStr">
        <is>
          <t>False</t>
        </is>
      </c>
      <c r="P458" t="n">
        <v>15</v>
      </c>
      <c r="Q458">
        <f>VLOOKUP(D458,GL_Accounts!$A$2:$E$1048576,5,FALSE)</f>
        <v/>
      </c>
      <c r="R458">
        <f>VLOOKUP(D458,GL_Accounts!$A$2:$E$1048576,4,FALSE)</f>
        <v/>
      </c>
    </row>
    <row r="459">
      <c r="A459" t="inlineStr">
        <is>
          <t>INV200458</t>
        </is>
      </c>
      <c r="B459" t="n">
        <v>16</v>
      </c>
      <c r="C459" t="inlineStr">
        <is>
          <t>V0016</t>
        </is>
      </c>
      <c r="D459" t="n">
        <v>17</v>
      </c>
      <c r="E459" t="n">
        <v>64100</v>
      </c>
      <c r="F459" t="inlineStr">
        <is>
          <t>PO100352</t>
        </is>
      </c>
      <c r="G459" t="n">
        <v>20250714</v>
      </c>
      <c r="H459" t="inlineStr">
        <is>
          <t>2025-07-14</t>
        </is>
      </c>
      <c r="I459" t="n">
        <v>20250813</v>
      </c>
      <c r="J459" t="inlineStr">
        <is>
          <t>2025-08-13</t>
        </is>
      </c>
      <c r="K459" s="9" t="n">
        <v>4152.11</v>
      </c>
      <c r="L459" t="inlineStr">
        <is>
          <t>USD</t>
        </is>
      </c>
      <c r="M459" s="4" t="n">
        <v>4152.11</v>
      </c>
      <c r="N459" t="inlineStr">
        <is>
          <t>Paid</t>
        </is>
      </c>
      <c r="O459" t="inlineStr">
        <is>
          <t>False</t>
        </is>
      </c>
      <c r="P459" t="n">
        <v>30</v>
      </c>
      <c r="Q459">
        <f>VLOOKUP(D459,GL_Accounts!$A$2:$E$1048576,5,FALSE)</f>
        <v/>
      </c>
      <c r="R459">
        <f>VLOOKUP(D459,GL_Accounts!$A$2:$E$1048576,4,FALSE)</f>
        <v/>
      </c>
    </row>
    <row r="460">
      <c r="A460" t="inlineStr">
        <is>
          <t>INV200459</t>
        </is>
      </c>
      <c r="B460" t="n">
        <v>16</v>
      </c>
      <c r="C460" t="inlineStr">
        <is>
          <t>V0016</t>
        </is>
      </c>
      <c r="D460" t="n">
        <v>18</v>
      </c>
      <c r="E460" t="n">
        <v>64200</v>
      </c>
      <c r="F460" t="inlineStr">
        <is>
          <t>PO100352</t>
        </is>
      </c>
      <c r="G460" t="n">
        <v>20250827</v>
      </c>
      <c r="H460" t="inlineStr">
        <is>
          <t>2025-08-27</t>
        </is>
      </c>
      <c r="I460" t="n">
        <v>20250926</v>
      </c>
      <c r="J460" t="inlineStr">
        <is>
          <t>2025-09-26</t>
        </is>
      </c>
      <c r="K460" s="9" t="n">
        <v>7908.95</v>
      </c>
      <c r="L460" t="inlineStr">
        <is>
          <t>USD</t>
        </is>
      </c>
      <c r="M460" s="4" t="n">
        <v>7908.95</v>
      </c>
      <c r="N460" t="inlineStr">
        <is>
          <t>Paid</t>
        </is>
      </c>
      <c r="O460" t="inlineStr">
        <is>
          <t>False</t>
        </is>
      </c>
      <c r="P460" t="n">
        <v>30</v>
      </c>
      <c r="Q460">
        <f>VLOOKUP(D460,GL_Accounts!$A$2:$E$1048576,5,FALSE)</f>
        <v/>
      </c>
      <c r="R460">
        <f>VLOOKUP(D460,GL_Accounts!$A$2:$E$1048576,4,FALSE)</f>
        <v/>
      </c>
    </row>
    <row r="461">
      <c r="A461" t="inlineStr">
        <is>
          <t>INV200460</t>
        </is>
      </c>
      <c r="B461" t="n">
        <v>24</v>
      </c>
      <c r="C461" t="inlineStr">
        <is>
          <t>V0024</t>
        </is>
      </c>
      <c r="D461" t="n">
        <v>19</v>
      </c>
      <c r="E461" t="n">
        <v>64300</v>
      </c>
      <c r="F461" t="inlineStr">
        <is>
          <t>PO100353</t>
        </is>
      </c>
      <c r="G461" t="n">
        <v>20250523</v>
      </c>
      <c r="H461" t="inlineStr">
        <is>
          <t>2025-05-23</t>
        </is>
      </c>
      <c r="I461" t="n">
        <v>20250607</v>
      </c>
      <c r="J461" t="inlineStr">
        <is>
          <t>2025-06-07</t>
        </is>
      </c>
      <c r="K461" s="9" t="n">
        <v>17637.11</v>
      </c>
      <c r="L461" t="inlineStr">
        <is>
          <t>USD</t>
        </is>
      </c>
      <c r="M461" s="4" t="n">
        <v>17637.11</v>
      </c>
      <c r="N461" t="inlineStr">
        <is>
          <t>Paid</t>
        </is>
      </c>
      <c r="O461" t="inlineStr">
        <is>
          <t>False</t>
        </is>
      </c>
      <c r="P461" t="n">
        <v>15</v>
      </c>
      <c r="Q461">
        <f>VLOOKUP(D461,GL_Accounts!$A$2:$E$1048576,5,FALSE)</f>
        <v/>
      </c>
      <c r="R461">
        <f>VLOOKUP(D461,GL_Accounts!$A$2:$E$1048576,4,FALSE)</f>
        <v/>
      </c>
    </row>
    <row r="462">
      <c r="A462" t="inlineStr">
        <is>
          <t>INV200461</t>
        </is>
      </c>
      <c r="B462" t="n">
        <v>4</v>
      </c>
      <c r="C462" t="inlineStr">
        <is>
          <t>V0004</t>
        </is>
      </c>
      <c r="D462" t="n">
        <v>3</v>
      </c>
      <c r="E462" t="n">
        <v>60120</v>
      </c>
      <c r="F462" t="inlineStr">
        <is>
          <t>PO100354</t>
        </is>
      </c>
      <c r="G462" t="n">
        <v>20260612</v>
      </c>
      <c r="H462" t="inlineStr">
        <is>
          <t>2026-06-12</t>
        </is>
      </c>
      <c r="I462" t="n">
        <v>20260712</v>
      </c>
      <c r="J462" t="inlineStr">
        <is>
          <t>2026-07-12</t>
        </is>
      </c>
      <c r="K462" s="9" t="n">
        <v>6835.9</v>
      </c>
      <c r="L462" t="inlineStr">
        <is>
          <t>GBP</t>
        </is>
      </c>
      <c r="M462" s="4" t="n">
        <v>8681.59</v>
      </c>
      <c r="N462" t="inlineStr">
        <is>
          <t>Unpaid</t>
        </is>
      </c>
      <c r="O462" t="inlineStr">
        <is>
          <t>False</t>
        </is>
      </c>
      <c r="P462" t="n">
        <v>30</v>
      </c>
      <c r="Q462">
        <f>VLOOKUP(D462,GL_Accounts!$A$2:$E$1048576,5,FALSE)</f>
        <v/>
      </c>
      <c r="R462">
        <f>VLOOKUP(D462,GL_Accounts!$A$2:$E$1048576,4,FALSE)</f>
        <v/>
      </c>
    </row>
    <row r="463">
      <c r="A463" t="inlineStr">
        <is>
          <t>INV200462</t>
        </is>
      </c>
      <c r="B463" t="n">
        <v>4</v>
      </c>
      <c r="C463" t="inlineStr">
        <is>
          <t>V0004</t>
        </is>
      </c>
      <c r="D463" t="n">
        <v>2</v>
      </c>
      <c r="E463" t="n">
        <v>60110</v>
      </c>
      <c r="F463" t="inlineStr">
        <is>
          <t>PO100354</t>
        </is>
      </c>
      <c r="G463" t="n">
        <v>20260617</v>
      </c>
      <c r="H463" t="inlineStr">
        <is>
          <t>2026-06-17</t>
        </is>
      </c>
      <c r="I463" t="n">
        <v>20260717</v>
      </c>
      <c r="J463" t="inlineStr">
        <is>
          <t>2026-07-17</t>
        </is>
      </c>
      <c r="K463" s="9" t="n">
        <v>14570.17</v>
      </c>
      <c r="L463" t="inlineStr">
        <is>
          <t>GBP</t>
        </is>
      </c>
      <c r="M463" s="4" t="n">
        <v>18504.12</v>
      </c>
      <c r="N463" t="inlineStr">
        <is>
          <t>Unpaid</t>
        </is>
      </c>
      <c r="O463" t="inlineStr">
        <is>
          <t>False</t>
        </is>
      </c>
      <c r="P463" t="n">
        <v>30</v>
      </c>
      <c r="Q463">
        <f>VLOOKUP(D463,GL_Accounts!$A$2:$E$1048576,5,FALSE)</f>
        <v/>
      </c>
      <c r="R463">
        <f>VLOOKUP(D463,GL_Accounts!$A$2:$E$1048576,4,FALSE)</f>
        <v/>
      </c>
    </row>
    <row r="464">
      <c r="A464" t="inlineStr">
        <is>
          <t>INV200463</t>
        </is>
      </c>
      <c r="B464" t="n">
        <v>18</v>
      </c>
      <c r="C464" t="inlineStr">
        <is>
          <t>V0018</t>
        </is>
      </c>
      <c r="D464" t="n">
        <v>13</v>
      </c>
      <c r="E464" t="n">
        <v>62400</v>
      </c>
      <c r="F464" t="inlineStr">
        <is>
          <t>PO100355</t>
        </is>
      </c>
      <c r="G464" t="n">
        <v>20251126</v>
      </c>
      <c r="H464" t="inlineStr">
        <is>
          <t>2025-11-26</t>
        </is>
      </c>
      <c r="I464" t="n">
        <v>20251226</v>
      </c>
      <c r="J464" t="inlineStr">
        <is>
          <t>2025-12-26</t>
        </is>
      </c>
      <c r="K464" s="9" t="n">
        <v>2013.71</v>
      </c>
      <c r="L464" t="inlineStr">
        <is>
          <t>USD</t>
        </is>
      </c>
      <c r="M464" s="4" t="n">
        <v>2013.71</v>
      </c>
      <c r="N464" t="inlineStr">
        <is>
          <t>Paid</t>
        </is>
      </c>
      <c r="O464" t="inlineStr">
        <is>
          <t>False</t>
        </is>
      </c>
      <c r="P464" t="n">
        <v>30</v>
      </c>
      <c r="Q464">
        <f>VLOOKUP(D464,GL_Accounts!$A$2:$E$1048576,5,FALSE)</f>
        <v/>
      </c>
      <c r="R464">
        <f>VLOOKUP(D464,GL_Accounts!$A$2:$E$1048576,4,FALSE)</f>
        <v/>
      </c>
    </row>
    <row r="465">
      <c r="A465" t="inlineStr">
        <is>
          <t>INV200464</t>
        </is>
      </c>
      <c r="B465" t="n">
        <v>31</v>
      </c>
      <c r="C465" t="inlineStr">
        <is>
          <t>V0031</t>
        </is>
      </c>
      <c r="D465" t="n">
        <v>2</v>
      </c>
      <c r="E465" t="n">
        <v>60110</v>
      </c>
      <c r="F465" t="inlineStr">
        <is>
          <t>PO100356</t>
        </is>
      </c>
      <c r="G465" t="n">
        <v>20250120</v>
      </c>
      <c r="H465" t="inlineStr">
        <is>
          <t>2025-01-20</t>
        </is>
      </c>
      <c r="I465" t="n">
        <v>20250219</v>
      </c>
      <c r="J465" t="inlineStr">
        <is>
          <t>2025-02-19</t>
        </is>
      </c>
      <c r="K465" s="9" t="n">
        <v>48985.41</v>
      </c>
      <c r="L465" t="inlineStr">
        <is>
          <t>USD</t>
        </is>
      </c>
      <c r="M465" s="4" t="n">
        <v>48985.41</v>
      </c>
      <c r="N465" t="inlineStr">
        <is>
          <t>Paid</t>
        </is>
      </c>
      <c r="O465" t="inlineStr">
        <is>
          <t>False</t>
        </is>
      </c>
      <c r="P465" t="n">
        <v>30</v>
      </c>
      <c r="Q465">
        <f>VLOOKUP(D465,GL_Accounts!$A$2:$E$1048576,5,FALSE)</f>
        <v/>
      </c>
      <c r="R465">
        <f>VLOOKUP(D465,GL_Accounts!$A$2:$E$1048576,4,FALSE)</f>
        <v/>
      </c>
    </row>
    <row r="466">
      <c r="A466" t="inlineStr">
        <is>
          <t>INV200465</t>
        </is>
      </c>
      <c r="B466" t="n">
        <v>29</v>
      </c>
      <c r="C466" t="inlineStr">
        <is>
          <t>V0029</t>
        </is>
      </c>
      <c r="D466" t="n">
        <v>18</v>
      </c>
      <c r="E466" t="n">
        <v>64200</v>
      </c>
      <c r="F466" t="inlineStr">
        <is>
          <t>PO100357</t>
        </is>
      </c>
      <c r="G466" t="n">
        <v>20251017</v>
      </c>
      <c r="H466" t="inlineStr">
        <is>
          <t>2025-10-17</t>
        </is>
      </c>
      <c r="I466" t="n">
        <v>20251216</v>
      </c>
      <c r="J466" t="inlineStr">
        <is>
          <t>2025-12-16</t>
        </is>
      </c>
      <c r="K466" s="9" t="n">
        <v>21052.09</v>
      </c>
      <c r="L466" t="inlineStr">
        <is>
          <t>USD</t>
        </is>
      </c>
      <c r="M466" s="4" t="n">
        <v>21052.09</v>
      </c>
      <c r="N466" t="inlineStr">
        <is>
          <t>Paid</t>
        </is>
      </c>
      <c r="O466" t="inlineStr">
        <is>
          <t>False</t>
        </is>
      </c>
      <c r="P466" t="n">
        <v>60</v>
      </c>
      <c r="Q466">
        <f>VLOOKUP(D466,GL_Accounts!$A$2:$E$1048576,5,FALSE)</f>
        <v/>
      </c>
      <c r="R466">
        <f>VLOOKUP(D466,GL_Accounts!$A$2:$E$1048576,4,FALSE)</f>
        <v/>
      </c>
    </row>
    <row r="467">
      <c r="A467" t="inlineStr">
        <is>
          <t>INV200466</t>
        </is>
      </c>
      <c r="B467" t="n">
        <v>25</v>
      </c>
      <c r="C467" t="inlineStr">
        <is>
          <t>V0025</t>
        </is>
      </c>
      <c r="D467" t="n">
        <v>9</v>
      </c>
      <c r="E467" t="n">
        <v>61400</v>
      </c>
      <c r="F467" t="inlineStr">
        <is>
          <t>PO100358</t>
        </is>
      </c>
      <c r="G467" t="n">
        <v>20250328</v>
      </c>
      <c r="H467" t="inlineStr">
        <is>
          <t>2025-03-28</t>
        </is>
      </c>
      <c r="I467" t="n">
        <v>20250427</v>
      </c>
      <c r="J467" t="inlineStr">
        <is>
          <t>2025-04-27</t>
        </is>
      </c>
      <c r="K467" s="9" t="n">
        <v>1708.81</v>
      </c>
      <c r="L467" t="inlineStr">
        <is>
          <t>GBP</t>
        </is>
      </c>
      <c r="M467" s="4" t="n">
        <v>2170.19</v>
      </c>
      <c r="N467" t="inlineStr">
        <is>
          <t>Unpaid</t>
        </is>
      </c>
      <c r="O467" t="inlineStr">
        <is>
          <t>False</t>
        </is>
      </c>
      <c r="P467" t="n">
        <v>30</v>
      </c>
      <c r="Q467">
        <f>VLOOKUP(D467,GL_Accounts!$A$2:$E$1048576,5,FALSE)</f>
        <v/>
      </c>
      <c r="R467">
        <f>VLOOKUP(D467,GL_Accounts!$A$2:$E$1048576,4,FALSE)</f>
        <v/>
      </c>
    </row>
    <row r="468">
      <c r="A468" t="inlineStr">
        <is>
          <t>INV200467</t>
        </is>
      </c>
      <c r="B468" t="n">
        <v>25</v>
      </c>
      <c r="C468" t="inlineStr">
        <is>
          <t>V0025</t>
        </is>
      </c>
      <c r="D468" t="n">
        <v>7</v>
      </c>
      <c r="E468" t="n">
        <v>61200</v>
      </c>
      <c r="F468" t="inlineStr">
        <is>
          <t>PO100358</t>
        </is>
      </c>
      <c r="G468" t="n">
        <v>20250411</v>
      </c>
      <c r="H468" t="inlineStr">
        <is>
          <t>2025-04-11</t>
        </is>
      </c>
      <c r="I468" t="n">
        <v>20250511</v>
      </c>
      <c r="J468" t="inlineStr">
        <is>
          <t>2025-05-11</t>
        </is>
      </c>
      <c r="K468" s="9" t="n">
        <v>1875.36</v>
      </c>
      <c r="L468" t="inlineStr">
        <is>
          <t>GBP</t>
        </is>
      </c>
      <c r="M468" s="4" t="n">
        <v>2381.71</v>
      </c>
      <c r="N468" t="inlineStr">
        <is>
          <t>Paid</t>
        </is>
      </c>
      <c r="O468" t="inlineStr">
        <is>
          <t>False</t>
        </is>
      </c>
      <c r="P468" t="n">
        <v>30</v>
      </c>
      <c r="Q468">
        <f>VLOOKUP(D468,GL_Accounts!$A$2:$E$1048576,5,FALSE)</f>
        <v/>
      </c>
      <c r="R468">
        <f>VLOOKUP(D468,GL_Accounts!$A$2:$E$1048576,4,FALSE)</f>
        <v/>
      </c>
    </row>
    <row r="469">
      <c r="A469" t="inlineStr">
        <is>
          <t>INV200468</t>
        </is>
      </c>
      <c r="B469" t="n">
        <v>38</v>
      </c>
      <c r="C469" t="inlineStr">
        <is>
          <t>V0038</t>
        </is>
      </c>
      <c r="D469" t="n">
        <v>6</v>
      </c>
      <c r="E469" t="n">
        <v>61100</v>
      </c>
      <c r="F469" t="inlineStr">
        <is>
          <t>PO100359</t>
        </is>
      </c>
      <c r="G469" t="n">
        <v>20250102</v>
      </c>
      <c r="H469" t="inlineStr">
        <is>
          <t>2025-01-02</t>
        </is>
      </c>
      <c r="I469" t="n">
        <v>20250216</v>
      </c>
      <c r="J469" t="inlineStr">
        <is>
          <t>2025-02-16</t>
        </is>
      </c>
      <c r="K469" s="9" t="n">
        <v>3582.23</v>
      </c>
      <c r="L469" t="inlineStr">
        <is>
          <t>USD</t>
        </is>
      </c>
      <c r="M469" s="4" t="n">
        <v>3582.23</v>
      </c>
      <c r="N469" t="inlineStr">
        <is>
          <t>Paid</t>
        </is>
      </c>
      <c r="O469" t="inlineStr">
        <is>
          <t>False</t>
        </is>
      </c>
      <c r="P469" t="n">
        <v>45</v>
      </c>
      <c r="Q469">
        <f>VLOOKUP(D469,GL_Accounts!$A$2:$E$1048576,5,FALSE)</f>
        <v/>
      </c>
      <c r="R469">
        <f>VLOOKUP(D469,GL_Accounts!$A$2:$E$1048576,4,FALSE)</f>
        <v/>
      </c>
    </row>
    <row r="470">
      <c r="A470" t="inlineStr">
        <is>
          <t>INV200469</t>
        </is>
      </c>
      <c r="B470" t="n">
        <v>9</v>
      </c>
      <c r="C470" t="inlineStr">
        <is>
          <t>V0009</t>
        </is>
      </c>
      <c r="D470" t="n">
        <v>6</v>
      </c>
      <c r="E470" t="n">
        <v>61100</v>
      </c>
      <c r="F470" t="inlineStr">
        <is>
          <t>PO100360</t>
        </is>
      </c>
      <c r="G470" t="n">
        <v>20260129</v>
      </c>
      <c r="H470" t="inlineStr">
        <is>
          <t>2026-01-29</t>
        </is>
      </c>
      <c r="I470" t="n">
        <v>20260213</v>
      </c>
      <c r="J470" t="inlineStr">
        <is>
          <t>2026-02-13</t>
        </is>
      </c>
      <c r="K470" s="9" t="n">
        <v>5588.76</v>
      </c>
      <c r="L470" t="inlineStr">
        <is>
          <t>USD</t>
        </is>
      </c>
      <c r="M470" s="4" t="n">
        <v>5588.76</v>
      </c>
      <c r="N470" t="inlineStr">
        <is>
          <t>Paid</t>
        </is>
      </c>
      <c r="O470" t="inlineStr">
        <is>
          <t>False</t>
        </is>
      </c>
      <c r="P470" t="n">
        <v>15</v>
      </c>
      <c r="Q470">
        <f>VLOOKUP(D470,GL_Accounts!$A$2:$E$1048576,5,FALSE)</f>
        <v/>
      </c>
      <c r="R470">
        <f>VLOOKUP(D470,GL_Accounts!$A$2:$E$1048576,4,FALSE)</f>
        <v/>
      </c>
    </row>
    <row r="471">
      <c r="A471" t="inlineStr">
        <is>
          <t>INV200470</t>
        </is>
      </c>
      <c r="B471" t="n">
        <v>9</v>
      </c>
      <c r="C471" t="inlineStr">
        <is>
          <t>V0009</t>
        </is>
      </c>
      <c r="D471" t="n">
        <v>8</v>
      </c>
      <c r="E471" t="n">
        <v>61300</v>
      </c>
      <c r="F471" t="inlineStr">
        <is>
          <t>PO100360</t>
        </is>
      </c>
      <c r="G471" t="n">
        <v>20260310</v>
      </c>
      <c r="H471" t="inlineStr">
        <is>
          <t>2026-03-10</t>
        </is>
      </c>
      <c r="I471" t="n">
        <v>20260325</v>
      </c>
      <c r="J471" t="inlineStr">
        <is>
          <t>2026-03-25</t>
        </is>
      </c>
      <c r="K471" s="9" t="n">
        <v>1479.54</v>
      </c>
      <c r="L471" t="inlineStr">
        <is>
          <t>USD</t>
        </is>
      </c>
      <c r="M471" s="4" t="n">
        <v>1479.54</v>
      </c>
      <c r="N471" t="inlineStr">
        <is>
          <t>Paid</t>
        </is>
      </c>
      <c r="O471" t="inlineStr">
        <is>
          <t>False</t>
        </is>
      </c>
      <c r="P471" t="n">
        <v>15</v>
      </c>
      <c r="Q471">
        <f>VLOOKUP(D471,GL_Accounts!$A$2:$E$1048576,5,FALSE)</f>
        <v/>
      </c>
      <c r="R471">
        <f>VLOOKUP(D471,GL_Accounts!$A$2:$E$1048576,4,FALSE)</f>
        <v/>
      </c>
    </row>
    <row r="472">
      <c r="A472" t="inlineStr">
        <is>
          <t>INV200471</t>
        </is>
      </c>
      <c r="B472" t="n">
        <v>9</v>
      </c>
      <c r="C472" t="inlineStr">
        <is>
          <t>V0009</t>
        </is>
      </c>
      <c r="D472" t="n">
        <v>8</v>
      </c>
      <c r="E472" t="n">
        <v>61300</v>
      </c>
      <c r="F472" t="inlineStr">
        <is>
          <t>PO100361</t>
        </is>
      </c>
      <c r="G472" t="n">
        <v>20250424</v>
      </c>
      <c r="H472" t="inlineStr">
        <is>
          <t>2025-04-24</t>
        </is>
      </c>
      <c r="I472" t="n">
        <v>20250509</v>
      </c>
      <c r="J472" t="inlineStr">
        <is>
          <t>2025-05-09</t>
        </is>
      </c>
      <c r="K472" s="9" t="n">
        <v>755.78</v>
      </c>
      <c r="L472" t="inlineStr">
        <is>
          <t>USD</t>
        </is>
      </c>
      <c r="M472" s="4" t="n">
        <v>755.78</v>
      </c>
      <c r="N472" t="inlineStr">
        <is>
          <t>Paid</t>
        </is>
      </c>
      <c r="O472" t="inlineStr">
        <is>
          <t>False</t>
        </is>
      </c>
      <c r="P472" t="n">
        <v>15</v>
      </c>
      <c r="Q472">
        <f>VLOOKUP(D472,GL_Accounts!$A$2:$E$1048576,5,FALSE)</f>
        <v/>
      </c>
      <c r="R472">
        <f>VLOOKUP(D472,GL_Accounts!$A$2:$E$1048576,4,FALSE)</f>
        <v/>
      </c>
    </row>
    <row r="473">
      <c r="A473" t="inlineStr">
        <is>
          <t>INV200472</t>
        </is>
      </c>
      <c r="B473" t="n">
        <v>9</v>
      </c>
      <c r="C473" t="inlineStr">
        <is>
          <t>V0009</t>
        </is>
      </c>
      <c r="D473" t="n">
        <v>9</v>
      </c>
      <c r="E473" t="n">
        <v>61400</v>
      </c>
      <c r="F473" t="inlineStr">
        <is>
          <t>PO100361</t>
        </is>
      </c>
      <c r="G473" t="n">
        <v>20250531</v>
      </c>
      <c r="H473" t="inlineStr">
        <is>
          <t>2025-05-31</t>
        </is>
      </c>
      <c r="I473" t="n">
        <v>20250615</v>
      </c>
      <c r="J473" t="inlineStr">
        <is>
          <t>2025-06-15</t>
        </is>
      </c>
      <c r="K473" s="9" t="n">
        <v>1928.35</v>
      </c>
      <c r="L473" t="inlineStr">
        <is>
          <t>USD</t>
        </is>
      </c>
      <c r="M473" s="4" t="n">
        <v>1928.35</v>
      </c>
      <c r="N473" t="inlineStr">
        <is>
          <t>Unpaid</t>
        </is>
      </c>
      <c r="O473" t="inlineStr">
        <is>
          <t>False</t>
        </is>
      </c>
      <c r="P473" t="n">
        <v>15</v>
      </c>
      <c r="Q473">
        <f>VLOOKUP(D473,GL_Accounts!$A$2:$E$1048576,5,FALSE)</f>
        <v/>
      </c>
      <c r="R473">
        <f>VLOOKUP(D473,GL_Accounts!$A$2:$E$1048576,4,FALSE)</f>
        <v/>
      </c>
    </row>
    <row r="474">
      <c r="A474" t="inlineStr">
        <is>
          <t>INV200473</t>
        </is>
      </c>
      <c r="B474" t="n">
        <v>30</v>
      </c>
      <c r="C474" t="inlineStr">
        <is>
          <t>V0030</t>
        </is>
      </c>
      <c r="D474" t="n">
        <v>19</v>
      </c>
      <c r="E474" t="n">
        <v>64300</v>
      </c>
      <c r="F474" t="inlineStr">
        <is>
          <t>PO100362</t>
        </is>
      </c>
      <c r="G474" t="n">
        <v>20250208</v>
      </c>
      <c r="H474" t="inlineStr">
        <is>
          <t>2025-02-08</t>
        </is>
      </c>
      <c r="I474" t="n">
        <v>20250310</v>
      </c>
      <c r="J474" t="inlineStr">
        <is>
          <t>2025-03-10</t>
        </is>
      </c>
      <c r="K474" s="9" t="n">
        <v>14183.64</v>
      </c>
      <c r="L474" t="inlineStr">
        <is>
          <t>USD</t>
        </is>
      </c>
      <c r="M474" s="4" t="n">
        <v>14183.64</v>
      </c>
      <c r="N474" t="inlineStr">
        <is>
          <t>Paid</t>
        </is>
      </c>
      <c r="O474" t="inlineStr">
        <is>
          <t>False</t>
        </is>
      </c>
      <c r="P474" t="n">
        <v>30</v>
      </c>
      <c r="Q474">
        <f>VLOOKUP(D474,GL_Accounts!$A$2:$E$1048576,5,FALSE)</f>
        <v/>
      </c>
      <c r="R474">
        <f>VLOOKUP(D474,GL_Accounts!$A$2:$E$1048576,4,FALSE)</f>
        <v/>
      </c>
    </row>
    <row r="475">
      <c r="A475" t="inlineStr">
        <is>
          <t>INV200474</t>
        </is>
      </c>
      <c r="B475" t="n">
        <v>48</v>
      </c>
      <c r="C475" t="inlineStr">
        <is>
          <t>V0048</t>
        </is>
      </c>
      <c r="D475" t="n">
        <v>1</v>
      </c>
      <c r="E475" t="n">
        <v>60100</v>
      </c>
      <c r="F475" t="inlineStr">
        <is>
          <t>PO100363</t>
        </is>
      </c>
      <c r="G475" t="n">
        <v>20250505</v>
      </c>
      <c r="H475" t="inlineStr">
        <is>
          <t>2025-05-05</t>
        </is>
      </c>
      <c r="I475" t="n">
        <v>20250619</v>
      </c>
      <c r="J475" t="inlineStr">
        <is>
          <t>2025-06-19</t>
        </is>
      </c>
      <c r="K475" s="9" t="n">
        <v>8092.39</v>
      </c>
      <c r="L475" t="inlineStr">
        <is>
          <t>USD</t>
        </is>
      </c>
      <c r="M475" s="4" t="n">
        <v>8092.39</v>
      </c>
      <c r="N475" t="inlineStr">
        <is>
          <t>Paid</t>
        </is>
      </c>
      <c r="O475" t="inlineStr">
        <is>
          <t>False</t>
        </is>
      </c>
      <c r="P475" t="n">
        <v>45</v>
      </c>
      <c r="Q475">
        <f>VLOOKUP(D475,GL_Accounts!$A$2:$E$1048576,5,FALSE)</f>
        <v/>
      </c>
      <c r="R475">
        <f>VLOOKUP(D475,GL_Accounts!$A$2:$E$1048576,4,FALSE)</f>
        <v/>
      </c>
    </row>
    <row r="476">
      <c r="A476" t="inlineStr">
        <is>
          <t>INV200475</t>
        </is>
      </c>
      <c r="B476" t="n">
        <v>48</v>
      </c>
      <c r="C476" t="inlineStr">
        <is>
          <t>V0048</t>
        </is>
      </c>
      <c r="D476" t="n">
        <v>2</v>
      </c>
      <c r="E476" t="n">
        <v>60110</v>
      </c>
      <c r="F476" t="inlineStr">
        <is>
          <t>PO100363</t>
        </is>
      </c>
      <c r="G476" t="n">
        <v>20250609</v>
      </c>
      <c r="H476" t="inlineStr">
        <is>
          <t>2025-06-09</t>
        </is>
      </c>
      <c r="I476" t="n">
        <v>20250724</v>
      </c>
      <c r="J476" t="inlineStr">
        <is>
          <t>2025-07-24</t>
        </is>
      </c>
      <c r="K476" s="9" t="n">
        <v>6923.57</v>
      </c>
      <c r="L476" t="inlineStr">
        <is>
          <t>USD</t>
        </is>
      </c>
      <c r="M476" s="4" t="n">
        <v>6923.57</v>
      </c>
      <c r="N476" t="inlineStr">
        <is>
          <t>Paid</t>
        </is>
      </c>
      <c r="O476" t="inlineStr">
        <is>
          <t>False</t>
        </is>
      </c>
      <c r="P476" t="n">
        <v>45</v>
      </c>
      <c r="Q476">
        <f>VLOOKUP(D476,GL_Accounts!$A$2:$E$1048576,5,FALSE)</f>
        <v/>
      </c>
      <c r="R476">
        <f>VLOOKUP(D476,GL_Accounts!$A$2:$E$1048576,4,FALSE)</f>
        <v/>
      </c>
    </row>
    <row r="477">
      <c r="A477" t="inlineStr">
        <is>
          <t>INV200476</t>
        </is>
      </c>
      <c r="B477" t="n">
        <v>22</v>
      </c>
      <c r="C477" t="inlineStr">
        <is>
          <t>V0022</t>
        </is>
      </c>
      <c r="D477" t="n">
        <v>8</v>
      </c>
      <c r="E477" t="n">
        <v>61300</v>
      </c>
      <c r="F477" t="inlineStr">
        <is>
          <t>PO100365</t>
        </is>
      </c>
      <c r="G477" t="n">
        <v>20250119</v>
      </c>
      <c r="H477" t="inlineStr">
        <is>
          <t>2025-01-19</t>
        </is>
      </c>
      <c r="I477" t="n">
        <v>20250218</v>
      </c>
      <c r="J477" t="inlineStr">
        <is>
          <t>2025-02-18</t>
        </is>
      </c>
      <c r="K477" s="9" t="n">
        <v>7134.65</v>
      </c>
      <c r="L477" t="inlineStr">
        <is>
          <t>USD</t>
        </is>
      </c>
      <c r="M477" s="4" t="n">
        <v>7134.65</v>
      </c>
      <c r="N477" t="inlineStr">
        <is>
          <t>Paid</t>
        </is>
      </c>
      <c r="O477" t="inlineStr">
        <is>
          <t>False</t>
        </is>
      </c>
      <c r="P477" t="n">
        <v>30</v>
      </c>
      <c r="Q477">
        <f>VLOOKUP(D477,GL_Accounts!$A$2:$E$1048576,5,FALSE)</f>
        <v/>
      </c>
      <c r="R477">
        <f>VLOOKUP(D477,GL_Accounts!$A$2:$E$1048576,4,FALSE)</f>
        <v/>
      </c>
    </row>
    <row r="478">
      <c r="A478" t="inlineStr">
        <is>
          <t>INV200477</t>
        </is>
      </c>
      <c r="B478" t="n">
        <v>17</v>
      </c>
      <c r="C478" t="inlineStr">
        <is>
          <t>V0017</t>
        </is>
      </c>
      <c r="D478" t="n">
        <v>7</v>
      </c>
      <c r="E478" t="n">
        <v>61200</v>
      </c>
      <c r="F478" t="inlineStr">
        <is>
          <t>PO100366</t>
        </is>
      </c>
      <c r="G478" t="n">
        <v>20250729</v>
      </c>
      <c r="H478" t="inlineStr">
        <is>
          <t>2025-07-29</t>
        </is>
      </c>
      <c r="I478" t="n">
        <v>20250912</v>
      </c>
      <c r="J478" t="inlineStr">
        <is>
          <t>2025-09-12</t>
        </is>
      </c>
      <c r="K478" s="9" t="n">
        <v>1670.25</v>
      </c>
      <c r="L478" t="inlineStr">
        <is>
          <t>USD</t>
        </is>
      </c>
      <c r="M478" s="4" t="n">
        <v>1670.25</v>
      </c>
      <c r="N478" t="inlineStr">
        <is>
          <t>Paid</t>
        </is>
      </c>
      <c r="O478" t="inlineStr">
        <is>
          <t>False</t>
        </is>
      </c>
      <c r="P478" t="n">
        <v>45</v>
      </c>
      <c r="Q478">
        <f>VLOOKUP(D478,GL_Accounts!$A$2:$E$1048576,5,FALSE)</f>
        <v/>
      </c>
      <c r="R478">
        <f>VLOOKUP(D478,GL_Accounts!$A$2:$E$1048576,4,FALSE)</f>
        <v/>
      </c>
    </row>
    <row r="479">
      <c r="A479" t="inlineStr">
        <is>
          <t>INV200478</t>
        </is>
      </c>
      <c r="B479" t="n">
        <v>17</v>
      </c>
      <c r="C479" t="inlineStr">
        <is>
          <t>V0017</t>
        </is>
      </c>
      <c r="D479" t="n">
        <v>7</v>
      </c>
      <c r="E479" t="n">
        <v>61200</v>
      </c>
      <c r="F479" t="inlineStr">
        <is>
          <t>PO100366</t>
        </is>
      </c>
      <c r="G479" t="n">
        <v>20250821</v>
      </c>
      <c r="H479" t="inlineStr">
        <is>
          <t>2025-08-21</t>
        </is>
      </c>
      <c r="I479" t="n">
        <v>20251005</v>
      </c>
      <c r="J479" t="inlineStr">
        <is>
          <t>2025-10-05</t>
        </is>
      </c>
      <c r="K479" s="9" t="n">
        <v>258.68</v>
      </c>
      <c r="L479" t="inlineStr">
        <is>
          <t>USD</t>
        </is>
      </c>
      <c r="M479" s="4" t="n">
        <v>258.68</v>
      </c>
      <c r="N479" t="inlineStr">
        <is>
          <t>Paid</t>
        </is>
      </c>
      <c r="O479" t="inlineStr">
        <is>
          <t>False</t>
        </is>
      </c>
      <c r="P479" t="n">
        <v>45</v>
      </c>
      <c r="Q479">
        <f>VLOOKUP(D479,GL_Accounts!$A$2:$E$1048576,5,FALSE)</f>
        <v/>
      </c>
      <c r="R479">
        <f>VLOOKUP(D479,GL_Accounts!$A$2:$E$1048576,4,FALSE)</f>
        <v/>
      </c>
    </row>
    <row r="480">
      <c r="A480" t="inlineStr">
        <is>
          <t>INV200479</t>
        </is>
      </c>
      <c r="B480" t="n">
        <v>17</v>
      </c>
      <c r="C480" t="inlineStr">
        <is>
          <t>V0017</t>
        </is>
      </c>
      <c r="D480" t="n">
        <v>6</v>
      </c>
      <c r="E480" t="n">
        <v>61100</v>
      </c>
      <c r="F480" t="inlineStr">
        <is>
          <t>PO100366</t>
        </is>
      </c>
      <c r="G480" t="n">
        <v>20250930</v>
      </c>
      <c r="H480" t="inlineStr">
        <is>
          <t>2025-09-30</t>
        </is>
      </c>
      <c r="I480" t="n">
        <v>20251114</v>
      </c>
      <c r="J480" t="inlineStr">
        <is>
          <t>2025-11-14</t>
        </is>
      </c>
      <c r="K480" s="9" t="n">
        <v>1342.98</v>
      </c>
      <c r="L480" t="inlineStr">
        <is>
          <t>USD</t>
        </is>
      </c>
      <c r="M480" s="4" t="n">
        <v>1342.98</v>
      </c>
      <c r="N480" t="inlineStr">
        <is>
          <t>Paid</t>
        </is>
      </c>
      <c r="O480" t="inlineStr">
        <is>
          <t>False</t>
        </is>
      </c>
      <c r="P480" t="n">
        <v>45</v>
      </c>
      <c r="Q480">
        <f>VLOOKUP(D480,GL_Accounts!$A$2:$E$1048576,5,FALSE)</f>
        <v/>
      </c>
      <c r="R480">
        <f>VLOOKUP(D480,GL_Accounts!$A$2:$E$1048576,4,FALSE)</f>
        <v/>
      </c>
    </row>
    <row r="481">
      <c r="A481" t="inlineStr">
        <is>
          <t>INV200480</t>
        </is>
      </c>
      <c r="B481" t="n">
        <v>17</v>
      </c>
      <c r="C481" t="inlineStr">
        <is>
          <t>V0017</t>
        </is>
      </c>
      <c r="D481" t="n">
        <v>7</v>
      </c>
      <c r="E481" t="n">
        <v>61200</v>
      </c>
      <c r="F481" t="inlineStr">
        <is>
          <t>PO100367</t>
        </is>
      </c>
      <c r="G481" t="n">
        <v>20260725</v>
      </c>
      <c r="H481" t="inlineStr">
        <is>
          <t>2026-07-25</t>
        </is>
      </c>
      <c r="I481" t="n">
        <v>20260908</v>
      </c>
      <c r="J481" t="inlineStr">
        <is>
          <t>2026-09-08</t>
        </is>
      </c>
      <c r="K481" s="9" t="n">
        <v>3946.39</v>
      </c>
      <c r="L481" t="inlineStr">
        <is>
          <t>USD</t>
        </is>
      </c>
      <c r="M481" s="4" t="n">
        <v>3946.39</v>
      </c>
      <c r="N481" t="inlineStr">
        <is>
          <t>Unpaid</t>
        </is>
      </c>
      <c r="O481" t="inlineStr">
        <is>
          <t>False</t>
        </is>
      </c>
      <c r="P481" t="n">
        <v>45</v>
      </c>
      <c r="Q481">
        <f>VLOOKUP(D481,GL_Accounts!$A$2:$E$1048576,5,FALSE)</f>
        <v/>
      </c>
      <c r="R481">
        <f>VLOOKUP(D481,GL_Accounts!$A$2:$E$1048576,4,FALSE)</f>
        <v/>
      </c>
    </row>
    <row r="482">
      <c r="A482" t="inlineStr">
        <is>
          <t>INV200481</t>
        </is>
      </c>
      <c r="B482" t="n">
        <v>17</v>
      </c>
      <c r="C482" t="inlineStr">
        <is>
          <t>V0017</t>
        </is>
      </c>
      <c r="D482" t="n">
        <v>8</v>
      </c>
      <c r="E482" t="n">
        <v>61300</v>
      </c>
      <c r="F482" t="inlineStr">
        <is>
          <t>PO100367</t>
        </is>
      </c>
      <c r="G482" t="n">
        <v>20260726</v>
      </c>
      <c r="H482" t="inlineStr">
        <is>
          <t>2026-07-26</t>
        </is>
      </c>
      <c r="I482" t="n">
        <v>20260909</v>
      </c>
      <c r="J482" t="inlineStr">
        <is>
          <t>2026-09-09</t>
        </is>
      </c>
      <c r="K482" s="9" t="n">
        <v>1685.06</v>
      </c>
      <c r="L482" t="inlineStr">
        <is>
          <t>USD</t>
        </is>
      </c>
      <c r="M482" s="4" t="n">
        <v>1685.06</v>
      </c>
      <c r="N482" t="inlineStr">
        <is>
          <t>Unpaid</t>
        </is>
      </c>
      <c r="O482" t="inlineStr">
        <is>
          <t>False</t>
        </is>
      </c>
      <c r="P482" t="n">
        <v>45</v>
      </c>
      <c r="Q482">
        <f>VLOOKUP(D482,GL_Accounts!$A$2:$E$1048576,5,FALSE)</f>
        <v/>
      </c>
      <c r="R482">
        <f>VLOOKUP(D482,GL_Accounts!$A$2:$E$1048576,4,FALSE)</f>
        <v/>
      </c>
    </row>
    <row r="483">
      <c r="A483" t="inlineStr">
        <is>
          <t>INV200482</t>
        </is>
      </c>
      <c r="B483" t="n">
        <v>25</v>
      </c>
      <c r="C483" t="inlineStr">
        <is>
          <t>V0025</t>
        </is>
      </c>
      <c r="D483" t="n">
        <v>7</v>
      </c>
      <c r="E483" t="n">
        <v>61200</v>
      </c>
      <c r="F483" t="inlineStr">
        <is>
          <t>PO100368</t>
        </is>
      </c>
      <c r="G483" t="n">
        <v>20250914</v>
      </c>
      <c r="H483" t="inlineStr">
        <is>
          <t>2025-09-14</t>
        </is>
      </c>
      <c r="I483" t="n">
        <v>20251014</v>
      </c>
      <c r="J483" t="inlineStr">
        <is>
          <t>2025-10-14</t>
        </is>
      </c>
      <c r="K483" s="9" t="n">
        <v>4198.69</v>
      </c>
      <c r="L483" t="inlineStr">
        <is>
          <t>GBP</t>
        </is>
      </c>
      <c r="M483" s="4" t="n">
        <v>5332.34</v>
      </c>
      <c r="N483" t="inlineStr">
        <is>
          <t>Paid</t>
        </is>
      </c>
      <c r="O483" t="inlineStr">
        <is>
          <t>False</t>
        </is>
      </c>
      <c r="P483" t="n">
        <v>30</v>
      </c>
      <c r="Q483">
        <f>VLOOKUP(D483,GL_Accounts!$A$2:$E$1048576,5,FALSE)</f>
        <v/>
      </c>
      <c r="R483">
        <f>VLOOKUP(D483,GL_Accounts!$A$2:$E$1048576,4,FALSE)</f>
        <v/>
      </c>
    </row>
    <row r="484">
      <c r="A484" t="inlineStr">
        <is>
          <t>INV200483</t>
        </is>
      </c>
      <c r="B484" t="n">
        <v>25</v>
      </c>
      <c r="C484" t="inlineStr">
        <is>
          <t>V0025</t>
        </is>
      </c>
      <c r="D484" t="n">
        <v>7</v>
      </c>
      <c r="E484" t="n">
        <v>61200</v>
      </c>
      <c r="F484" t="inlineStr">
        <is>
          <t>PO100368</t>
        </is>
      </c>
      <c r="G484" t="n">
        <v>20251023</v>
      </c>
      <c r="H484" t="inlineStr">
        <is>
          <t>2025-10-23</t>
        </is>
      </c>
      <c r="I484" t="n">
        <v>20251122</v>
      </c>
      <c r="J484" t="inlineStr">
        <is>
          <t>2025-11-22</t>
        </is>
      </c>
      <c r="K484" s="9" t="n">
        <v>3500.99</v>
      </c>
      <c r="L484" t="inlineStr">
        <is>
          <t>GBP</t>
        </is>
      </c>
      <c r="M484" s="4" t="n">
        <v>4446.26</v>
      </c>
      <c r="N484" t="inlineStr">
        <is>
          <t>Paid</t>
        </is>
      </c>
      <c r="O484" t="inlineStr">
        <is>
          <t>False</t>
        </is>
      </c>
      <c r="P484" t="n">
        <v>30</v>
      </c>
      <c r="Q484">
        <f>VLOOKUP(D484,GL_Accounts!$A$2:$E$1048576,5,FALSE)</f>
        <v/>
      </c>
      <c r="R484">
        <f>VLOOKUP(D484,GL_Accounts!$A$2:$E$1048576,4,FALSE)</f>
        <v/>
      </c>
    </row>
    <row r="485">
      <c r="A485" t="inlineStr">
        <is>
          <t>INV200484</t>
        </is>
      </c>
      <c r="B485" t="n">
        <v>25</v>
      </c>
      <c r="C485" t="inlineStr">
        <is>
          <t>V0025</t>
        </is>
      </c>
      <c r="D485" t="n">
        <v>9</v>
      </c>
      <c r="E485" t="n">
        <v>61400</v>
      </c>
      <c r="F485" t="inlineStr">
        <is>
          <t>PO100368</t>
        </is>
      </c>
      <c r="G485" t="n">
        <v>20251121</v>
      </c>
      <c r="H485" t="inlineStr">
        <is>
          <t>2025-11-21</t>
        </is>
      </c>
      <c r="I485" t="n">
        <v>20251221</v>
      </c>
      <c r="J485" t="inlineStr">
        <is>
          <t>2025-12-21</t>
        </is>
      </c>
      <c r="K485" s="9" t="n">
        <v>6289.25</v>
      </c>
      <c r="L485" t="inlineStr">
        <is>
          <t>GBP</t>
        </is>
      </c>
      <c r="M485" s="4" t="n">
        <v>7987.35</v>
      </c>
      <c r="N485" t="inlineStr">
        <is>
          <t>Paid</t>
        </is>
      </c>
      <c r="O485" t="inlineStr">
        <is>
          <t>False</t>
        </is>
      </c>
      <c r="P485" t="n">
        <v>30</v>
      </c>
      <c r="Q485">
        <f>VLOOKUP(D485,GL_Accounts!$A$2:$E$1048576,5,FALSE)</f>
        <v/>
      </c>
      <c r="R485">
        <f>VLOOKUP(D485,GL_Accounts!$A$2:$E$1048576,4,FALSE)</f>
        <v/>
      </c>
    </row>
    <row r="486">
      <c r="A486" t="inlineStr">
        <is>
          <t>INV200485</t>
        </is>
      </c>
      <c r="B486" t="n">
        <v>31</v>
      </c>
      <c r="C486" t="inlineStr">
        <is>
          <t>V0031</t>
        </is>
      </c>
      <c r="D486" t="n">
        <v>4</v>
      </c>
      <c r="E486" t="n">
        <v>60200</v>
      </c>
      <c r="F486" t="inlineStr">
        <is>
          <t>PO100370</t>
        </is>
      </c>
      <c r="G486" t="n">
        <v>20241109</v>
      </c>
      <c r="H486" t="inlineStr">
        <is>
          <t>2024-11-09</t>
        </is>
      </c>
      <c r="I486" t="n">
        <v>20241209</v>
      </c>
      <c r="J486" t="inlineStr">
        <is>
          <t>2024-12-09</t>
        </is>
      </c>
      <c r="K486" s="9" t="n">
        <v>6351.7</v>
      </c>
      <c r="L486" t="inlineStr">
        <is>
          <t>USD</t>
        </is>
      </c>
      <c r="M486" s="4" t="n">
        <v>6351.7</v>
      </c>
      <c r="N486" t="inlineStr">
        <is>
          <t>Paid</t>
        </is>
      </c>
      <c r="O486" t="inlineStr">
        <is>
          <t>False</t>
        </is>
      </c>
      <c r="P486" t="n">
        <v>30</v>
      </c>
      <c r="Q486">
        <f>VLOOKUP(D486,GL_Accounts!$A$2:$E$1048576,5,FALSE)</f>
        <v/>
      </c>
      <c r="R486">
        <f>VLOOKUP(D486,GL_Accounts!$A$2:$E$1048576,4,FALSE)</f>
        <v/>
      </c>
    </row>
    <row r="487">
      <c r="A487" t="inlineStr">
        <is>
          <t>INV200486</t>
        </is>
      </c>
      <c r="B487" t="n">
        <v>31</v>
      </c>
      <c r="C487" t="inlineStr">
        <is>
          <t>V0031</t>
        </is>
      </c>
      <c r="D487" t="n">
        <v>4</v>
      </c>
      <c r="E487" t="n">
        <v>60200</v>
      </c>
      <c r="F487" t="inlineStr">
        <is>
          <t>PO100370</t>
        </is>
      </c>
      <c r="G487" t="n">
        <v>20241210</v>
      </c>
      <c r="H487" t="inlineStr">
        <is>
          <t>2024-12-10</t>
        </is>
      </c>
      <c r="I487" t="n">
        <v>20250109</v>
      </c>
      <c r="J487" t="inlineStr">
        <is>
          <t>2025-01-09</t>
        </is>
      </c>
      <c r="K487" s="9" t="n">
        <v>17378.6</v>
      </c>
      <c r="L487" t="inlineStr">
        <is>
          <t>USD</t>
        </is>
      </c>
      <c r="M487" s="4" t="n">
        <v>17378.6</v>
      </c>
      <c r="N487" t="inlineStr">
        <is>
          <t>Paid</t>
        </is>
      </c>
      <c r="O487" t="inlineStr">
        <is>
          <t>False</t>
        </is>
      </c>
      <c r="P487" t="n">
        <v>30</v>
      </c>
      <c r="Q487">
        <f>VLOOKUP(D487,GL_Accounts!$A$2:$E$1048576,5,FALSE)</f>
        <v/>
      </c>
      <c r="R487">
        <f>VLOOKUP(D487,GL_Accounts!$A$2:$E$1048576,4,FALSE)</f>
        <v/>
      </c>
    </row>
    <row r="488">
      <c r="A488" t="inlineStr">
        <is>
          <t>INV200487</t>
        </is>
      </c>
      <c r="B488" t="n">
        <v>31</v>
      </c>
      <c r="C488" t="inlineStr">
        <is>
          <t>V0031</t>
        </is>
      </c>
      <c r="D488" t="n">
        <v>1</v>
      </c>
      <c r="E488" t="n">
        <v>60100</v>
      </c>
      <c r="F488" t="inlineStr">
        <is>
          <t>PO100370</t>
        </is>
      </c>
      <c r="G488" t="n">
        <v>20250131</v>
      </c>
      <c r="H488" t="inlineStr">
        <is>
          <t>2025-01-31</t>
        </is>
      </c>
      <c r="I488" t="n">
        <v>20250302</v>
      </c>
      <c r="J488" t="inlineStr">
        <is>
          <t>2025-03-02</t>
        </is>
      </c>
      <c r="K488" s="9" t="n">
        <v>7401.48</v>
      </c>
      <c r="L488" t="inlineStr">
        <is>
          <t>USD</t>
        </is>
      </c>
      <c r="M488" s="4" t="n">
        <v>7401.48</v>
      </c>
      <c r="N488" t="inlineStr">
        <is>
          <t>Paid</t>
        </is>
      </c>
      <c r="O488" t="inlineStr">
        <is>
          <t>False</t>
        </is>
      </c>
      <c r="P488" t="n">
        <v>30</v>
      </c>
      <c r="Q488">
        <f>VLOOKUP(D488,GL_Accounts!$A$2:$E$1048576,5,FALSE)</f>
        <v/>
      </c>
      <c r="R488">
        <f>VLOOKUP(D488,GL_Accounts!$A$2:$E$1048576,4,FALSE)</f>
        <v/>
      </c>
    </row>
    <row r="489">
      <c r="A489" t="inlineStr">
        <is>
          <t>INV200488</t>
        </is>
      </c>
      <c r="B489" t="n">
        <v>60</v>
      </c>
      <c r="C489" t="inlineStr">
        <is>
          <t>V0001</t>
        </is>
      </c>
      <c r="D489" t="n">
        <v>4</v>
      </c>
      <c r="E489" t="n">
        <v>60200</v>
      </c>
      <c r="F489" t="inlineStr">
        <is>
          <t>PO100371</t>
        </is>
      </c>
      <c r="G489" t="n">
        <v>20260131</v>
      </c>
      <c r="H489" t="inlineStr">
        <is>
          <t>2026-01-31</t>
        </is>
      </c>
      <c r="I489" t="n">
        <v>20260317</v>
      </c>
      <c r="J489" t="inlineStr">
        <is>
          <t>2026-03-17</t>
        </is>
      </c>
      <c r="K489" s="9" t="n">
        <v>43804.32</v>
      </c>
      <c r="L489" t="inlineStr">
        <is>
          <t>USD</t>
        </is>
      </c>
      <c r="M489" s="4" t="n">
        <v>43804.32</v>
      </c>
      <c r="N489" t="inlineStr">
        <is>
          <t>Paid</t>
        </is>
      </c>
      <c r="O489" t="inlineStr">
        <is>
          <t>False</t>
        </is>
      </c>
      <c r="P489" t="n">
        <v>45</v>
      </c>
      <c r="Q489">
        <f>VLOOKUP(D489,GL_Accounts!$A$2:$E$1048576,5,FALSE)</f>
        <v/>
      </c>
      <c r="R489">
        <f>VLOOKUP(D489,GL_Accounts!$A$2:$E$1048576,4,FALSE)</f>
        <v/>
      </c>
    </row>
    <row r="490">
      <c r="A490" t="inlineStr">
        <is>
          <t>INV200489</t>
        </is>
      </c>
      <c r="B490" t="n">
        <v>38</v>
      </c>
      <c r="C490" t="inlineStr">
        <is>
          <t>V0038</t>
        </is>
      </c>
      <c r="D490" t="n">
        <v>6</v>
      </c>
      <c r="E490" t="n">
        <v>61100</v>
      </c>
      <c r="F490" t="inlineStr">
        <is>
          <t>PO100372</t>
        </is>
      </c>
      <c r="G490" t="n">
        <v>20251203</v>
      </c>
      <c r="H490" t="inlineStr">
        <is>
          <t>2025-12-03</t>
        </is>
      </c>
      <c r="I490" t="n">
        <v>20260117</v>
      </c>
      <c r="J490" t="inlineStr">
        <is>
          <t>2026-01-17</t>
        </is>
      </c>
      <c r="K490" s="9" t="n">
        <v>534.67</v>
      </c>
      <c r="L490" t="inlineStr">
        <is>
          <t>USD</t>
        </is>
      </c>
      <c r="M490" s="4" t="n">
        <v>534.67</v>
      </c>
      <c r="N490" t="inlineStr">
        <is>
          <t>Paid</t>
        </is>
      </c>
      <c r="O490" t="inlineStr">
        <is>
          <t>False</t>
        </is>
      </c>
      <c r="P490" t="n">
        <v>45</v>
      </c>
      <c r="Q490">
        <f>VLOOKUP(D490,GL_Accounts!$A$2:$E$1048576,5,FALSE)</f>
        <v/>
      </c>
      <c r="R490">
        <f>VLOOKUP(D490,GL_Accounts!$A$2:$E$1048576,4,FALSE)</f>
        <v/>
      </c>
    </row>
    <row r="491">
      <c r="A491" t="inlineStr">
        <is>
          <t>INV200490</t>
        </is>
      </c>
      <c r="B491" t="n">
        <v>38</v>
      </c>
      <c r="C491" t="inlineStr">
        <is>
          <t>V0038</t>
        </is>
      </c>
      <c r="D491" t="n">
        <v>8</v>
      </c>
      <c r="E491" t="n">
        <v>61300</v>
      </c>
      <c r="F491" t="inlineStr">
        <is>
          <t>PO100372</t>
        </is>
      </c>
      <c r="G491" t="n">
        <v>20251201</v>
      </c>
      <c r="H491" t="inlineStr">
        <is>
          <t>2025-12-01</t>
        </is>
      </c>
      <c r="I491" t="n">
        <v>20260115</v>
      </c>
      <c r="J491" t="inlineStr">
        <is>
          <t>2026-01-15</t>
        </is>
      </c>
      <c r="K491" s="9" t="n">
        <v>154.1</v>
      </c>
      <c r="L491" t="inlineStr">
        <is>
          <t>USD</t>
        </is>
      </c>
      <c r="M491" s="4" t="n">
        <v>154.1</v>
      </c>
      <c r="N491" t="inlineStr">
        <is>
          <t>Paid</t>
        </is>
      </c>
      <c r="O491" t="inlineStr">
        <is>
          <t>False</t>
        </is>
      </c>
      <c r="P491" t="n">
        <v>45</v>
      </c>
      <c r="Q491">
        <f>VLOOKUP(D491,GL_Accounts!$A$2:$E$1048576,5,FALSE)</f>
        <v/>
      </c>
      <c r="R491">
        <f>VLOOKUP(D491,GL_Accounts!$A$2:$E$1048576,4,FALSE)</f>
        <v/>
      </c>
    </row>
    <row r="492">
      <c r="A492" t="inlineStr">
        <is>
          <t>INV200491</t>
        </is>
      </c>
      <c r="B492" t="n">
        <v>38</v>
      </c>
      <c r="C492" t="inlineStr">
        <is>
          <t>V0038</t>
        </is>
      </c>
      <c r="D492" t="n">
        <v>8</v>
      </c>
      <c r="E492" t="n">
        <v>61300</v>
      </c>
      <c r="F492" t="inlineStr">
        <is>
          <t>PO100372</t>
        </is>
      </c>
      <c r="G492" t="n">
        <v>20260125</v>
      </c>
      <c r="H492" t="inlineStr">
        <is>
          <t>2026-01-25</t>
        </is>
      </c>
      <c r="I492" t="n">
        <v>20260311</v>
      </c>
      <c r="J492" t="inlineStr">
        <is>
          <t>2026-03-11</t>
        </is>
      </c>
      <c r="K492" s="9" t="n">
        <v>1854.77</v>
      </c>
      <c r="L492" t="inlineStr">
        <is>
          <t>USD</t>
        </is>
      </c>
      <c r="M492" s="4" t="n">
        <v>1854.77</v>
      </c>
      <c r="N492" t="inlineStr">
        <is>
          <t>Paid</t>
        </is>
      </c>
      <c r="O492" t="inlineStr">
        <is>
          <t>False</t>
        </is>
      </c>
      <c r="P492" t="n">
        <v>45</v>
      </c>
      <c r="Q492">
        <f>VLOOKUP(D492,GL_Accounts!$A$2:$E$1048576,5,FALSE)</f>
        <v/>
      </c>
      <c r="R492">
        <f>VLOOKUP(D492,GL_Accounts!$A$2:$E$1048576,4,FALSE)</f>
        <v/>
      </c>
    </row>
    <row r="493">
      <c r="A493" t="inlineStr">
        <is>
          <t>INV200492</t>
        </is>
      </c>
      <c r="B493" t="n">
        <v>23</v>
      </c>
      <c r="C493" t="inlineStr">
        <is>
          <t>V0023</t>
        </is>
      </c>
      <c r="D493" t="n">
        <v>4</v>
      </c>
      <c r="E493" t="n">
        <v>60200</v>
      </c>
      <c r="F493" t="inlineStr">
        <is>
          <t>PO100373</t>
        </is>
      </c>
      <c r="G493" t="n">
        <v>20250209</v>
      </c>
      <c r="H493" t="inlineStr">
        <is>
          <t>2025-02-09</t>
        </is>
      </c>
      <c r="I493" t="n">
        <v>20250326</v>
      </c>
      <c r="J493" t="inlineStr">
        <is>
          <t>2025-03-26</t>
        </is>
      </c>
      <c r="K493" s="9" t="n">
        <v>39195.42</v>
      </c>
      <c r="L493" t="inlineStr">
        <is>
          <t>USD</t>
        </is>
      </c>
      <c r="M493" s="4" t="n">
        <v>39195.42</v>
      </c>
      <c r="N493" t="inlineStr">
        <is>
          <t>Paid</t>
        </is>
      </c>
      <c r="O493" t="inlineStr">
        <is>
          <t>False</t>
        </is>
      </c>
      <c r="P493" t="n">
        <v>45</v>
      </c>
      <c r="Q493">
        <f>VLOOKUP(D493,GL_Accounts!$A$2:$E$1048576,5,FALSE)</f>
        <v/>
      </c>
      <c r="R493">
        <f>VLOOKUP(D493,GL_Accounts!$A$2:$E$1048576,4,FALSE)</f>
        <v/>
      </c>
    </row>
    <row r="494">
      <c r="A494" t="inlineStr">
        <is>
          <t>INV200493</t>
        </is>
      </c>
      <c r="B494" t="n">
        <v>12</v>
      </c>
      <c r="C494" t="inlineStr">
        <is>
          <t>V0012</t>
        </is>
      </c>
      <c r="D494" t="n">
        <v>13</v>
      </c>
      <c r="E494" t="n">
        <v>62400</v>
      </c>
      <c r="F494" t="inlineStr">
        <is>
          <t>PO100374</t>
        </is>
      </c>
      <c r="G494" t="n">
        <v>20260214</v>
      </c>
      <c r="H494" t="inlineStr">
        <is>
          <t>2026-02-14</t>
        </is>
      </c>
      <c r="I494" t="n">
        <v>20260316</v>
      </c>
      <c r="J494" t="inlineStr">
        <is>
          <t>2026-03-16</t>
        </is>
      </c>
      <c r="K494" s="9" t="n">
        <v>2180.16</v>
      </c>
      <c r="L494" t="inlineStr">
        <is>
          <t>USD</t>
        </is>
      </c>
      <c r="M494" s="4" t="n">
        <v>2180.16</v>
      </c>
      <c r="N494" t="inlineStr">
        <is>
          <t>Paid</t>
        </is>
      </c>
      <c r="O494" t="inlineStr">
        <is>
          <t>False</t>
        </is>
      </c>
      <c r="P494" t="n">
        <v>30</v>
      </c>
      <c r="Q494">
        <f>VLOOKUP(D494,GL_Accounts!$A$2:$E$1048576,5,FALSE)</f>
        <v/>
      </c>
      <c r="R494">
        <f>VLOOKUP(D494,GL_Accounts!$A$2:$E$1048576,4,FALSE)</f>
        <v/>
      </c>
    </row>
    <row r="495">
      <c r="A495" t="inlineStr">
        <is>
          <t>INV200494</t>
        </is>
      </c>
      <c r="B495" t="n">
        <v>38</v>
      </c>
      <c r="C495" t="inlineStr">
        <is>
          <t>V0038</t>
        </is>
      </c>
      <c r="D495" t="n">
        <v>9</v>
      </c>
      <c r="E495" t="n">
        <v>61400</v>
      </c>
      <c r="F495" t="inlineStr">
        <is>
          <t>PO100375</t>
        </is>
      </c>
      <c r="G495" t="n">
        <v>20260117</v>
      </c>
      <c r="H495" t="inlineStr">
        <is>
          <t>2026-01-17</t>
        </is>
      </c>
      <c r="I495" t="n">
        <v>20260303</v>
      </c>
      <c r="J495" t="inlineStr">
        <is>
          <t>2026-03-03</t>
        </is>
      </c>
      <c r="K495" s="9" t="n">
        <v>7007.23</v>
      </c>
      <c r="L495" t="inlineStr">
        <is>
          <t>USD</t>
        </is>
      </c>
      <c r="M495" s="4" t="n">
        <v>7007.23</v>
      </c>
      <c r="N495" t="inlineStr">
        <is>
          <t>Paid</t>
        </is>
      </c>
      <c r="O495" t="inlineStr">
        <is>
          <t>False</t>
        </is>
      </c>
      <c r="P495" t="n">
        <v>45</v>
      </c>
      <c r="Q495">
        <f>VLOOKUP(D495,GL_Accounts!$A$2:$E$1048576,5,FALSE)</f>
        <v/>
      </c>
      <c r="R495">
        <f>VLOOKUP(D495,GL_Accounts!$A$2:$E$1048576,4,FALSE)</f>
        <v/>
      </c>
    </row>
    <row r="496">
      <c r="A496" t="inlineStr">
        <is>
          <t>INV200495</t>
        </is>
      </c>
      <c r="B496" t="n">
        <v>35</v>
      </c>
      <c r="C496" t="inlineStr">
        <is>
          <t>V0035</t>
        </is>
      </c>
      <c r="D496" t="n">
        <v>8</v>
      </c>
      <c r="E496" t="n">
        <v>61300</v>
      </c>
      <c r="F496" t="inlineStr">
        <is>
          <t>PO100376</t>
        </is>
      </c>
      <c r="G496" t="n">
        <v>20260213</v>
      </c>
      <c r="H496" t="inlineStr">
        <is>
          <t>2026-02-13</t>
        </is>
      </c>
      <c r="I496" t="n">
        <v>20260315</v>
      </c>
      <c r="J496" t="inlineStr">
        <is>
          <t>2026-03-15</t>
        </is>
      </c>
      <c r="K496" s="9" t="n">
        <v>2335.37</v>
      </c>
      <c r="L496" t="inlineStr">
        <is>
          <t>GBP</t>
        </is>
      </c>
      <c r="M496" s="4" t="n">
        <v>2965.92</v>
      </c>
      <c r="N496" t="inlineStr">
        <is>
          <t>Paid</t>
        </is>
      </c>
      <c r="O496" t="inlineStr">
        <is>
          <t>False</t>
        </is>
      </c>
      <c r="P496" t="n">
        <v>30</v>
      </c>
      <c r="Q496">
        <f>VLOOKUP(D496,GL_Accounts!$A$2:$E$1048576,5,FALSE)</f>
        <v/>
      </c>
      <c r="R496">
        <f>VLOOKUP(D496,GL_Accounts!$A$2:$E$1048576,4,FALSE)</f>
        <v/>
      </c>
    </row>
    <row r="497">
      <c r="A497" t="inlineStr">
        <is>
          <t>INV200496</t>
        </is>
      </c>
      <c r="B497" t="n">
        <v>35</v>
      </c>
      <c r="C497" t="inlineStr">
        <is>
          <t>V0035</t>
        </is>
      </c>
      <c r="D497" t="n">
        <v>9</v>
      </c>
      <c r="E497" t="n">
        <v>61400</v>
      </c>
      <c r="F497" t="inlineStr">
        <is>
          <t>PO100376</t>
        </is>
      </c>
      <c r="G497" t="n">
        <v>20260312</v>
      </c>
      <c r="H497" t="inlineStr">
        <is>
          <t>2026-03-12</t>
        </is>
      </c>
      <c r="I497" t="n">
        <v>20260411</v>
      </c>
      <c r="J497" t="inlineStr">
        <is>
          <t>2026-04-11</t>
        </is>
      </c>
      <c r="K497" s="9" t="n">
        <v>623.33</v>
      </c>
      <c r="L497" t="inlineStr">
        <is>
          <t>GBP</t>
        </is>
      </c>
      <c r="M497" s="4" t="n">
        <v>791.63</v>
      </c>
      <c r="N497" t="inlineStr">
        <is>
          <t>Unpaid</t>
        </is>
      </c>
      <c r="O497" t="inlineStr">
        <is>
          <t>False</t>
        </is>
      </c>
      <c r="P497" t="n">
        <v>30</v>
      </c>
      <c r="Q497">
        <f>VLOOKUP(D497,GL_Accounts!$A$2:$E$1048576,5,FALSE)</f>
        <v/>
      </c>
      <c r="R497">
        <f>VLOOKUP(D497,GL_Accounts!$A$2:$E$1048576,4,FALSE)</f>
        <v/>
      </c>
    </row>
    <row r="498">
      <c r="A498" t="inlineStr">
        <is>
          <t>INV200497</t>
        </is>
      </c>
      <c r="B498" t="n">
        <v>27</v>
      </c>
      <c r="C498" t="inlineStr">
        <is>
          <t>V0027</t>
        </is>
      </c>
      <c r="D498" t="n">
        <v>9</v>
      </c>
      <c r="E498" t="n">
        <v>61400</v>
      </c>
      <c r="F498" t="inlineStr">
        <is>
          <t>PO100377</t>
        </is>
      </c>
      <c r="G498" t="n">
        <v>20250125</v>
      </c>
      <c r="H498" t="inlineStr">
        <is>
          <t>2025-01-25</t>
        </is>
      </c>
      <c r="I498" t="n">
        <v>20250224</v>
      </c>
      <c r="J498" t="inlineStr">
        <is>
          <t>2025-02-24</t>
        </is>
      </c>
      <c r="K498" s="9" t="n">
        <v>22365.25</v>
      </c>
      <c r="L498" t="inlineStr">
        <is>
          <t>USD</t>
        </is>
      </c>
      <c r="M498" s="4" t="n">
        <v>22365.25</v>
      </c>
      <c r="N498" t="inlineStr">
        <is>
          <t>Paid</t>
        </is>
      </c>
      <c r="O498" t="inlineStr">
        <is>
          <t>False</t>
        </is>
      </c>
      <c r="P498" t="n">
        <v>30</v>
      </c>
      <c r="Q498">
        <f>VLOOKUP(D498,GL_Accounts!$A$2:$E$1048576,5,FALSE)</f>
        <v/>
      </c>
      <c r="R498">
        <f>VLOOKUP(D498,GL_Accounts!$A$2:$E$1048576,4,FALSE)</f>
        <v/>
      </c>
    </row>
    <row r="499">
      <c r="A499" t="inlineStr">
        <is>
          <t>INV200498</t>
        </is>
      </c>
      <c r="B499" t="n">
        <v>27</v>
      </c>
      <c r="C499" t="inlineStr">
        <is>
          <t>V0027</t>
        </is>
      </c>
      <c r="D499" t="n">
        <v>7</v>
      </c>
      <c r="E499" t="n">
        <v>61200</v>
      </c>
      <c r="F499" t="inlineStr">
        <is>
          <t>PO100377</t>
        </is>
      </c>
      <c r="G499" t="n">
        <v>20250228</v>
      </c>
      <c r="H499" t="inlineStr">
        <is>
          <t>2025-02-28</t>
        </is>
      </c>
      <c r="I499" t="n">
        <v>20250330</v>
      </c>
      <c r="J499" t="inlineStr">
        <is>
          <t>2025-03-30</t>
        </is>
      </c>
      <c r="K499" s="9" t="n">
        <v>10794.89</v>
      </c>
      <c r="L499" t="inlineStr">
        <is>
          <t>USD</t>
        </is>
      </c>
      <c r="M499" s="4" t="n">
        <v>10794.89</v>
      </c>
      <c r="N499" t="inlineStr">
        <is>
          <t>Unpaid</t>
        </is>
      </c>
      <c r="O499" t="inlineStr">
        <is>
          <t>False</t>
        </is>
      </c>
      <c r="P499" t="n">
        <v>30</v>
      </c>
      <c r="Q499">
        <f>VLOOKUP(D499,GL_Accounts!$A$2:$E$1048576,5,FALSE)</f>
        <v/>
      </c>
      <c r="R499">
        <f>VLOOKUP(D499,GL_Accounts!$A$2:$E$1048576,4,FALSE)</f>
        <v/>
      </c>
    </row>
    <row r="500">
      <c r="A500" t="inlineStr">
        <is>
          <t>INV200499</t>
        </is>
      </c>
      <c r="B500" t="n">
        <v>60</v>
      </c>
      <c r="C500" t="inlineStr">
        <is>
          <t>V0001</t>
        </is>
      </c>
      <c r="D500" t="n">
        <v>3</v>
      </c>
      <c r="E500" t="n">
        <v>60120</v>
      </c>
      <c r="F500" t="inlineStr">
        <is>
          <t>PO100378</t>
        </is>
      </c>
      <c r="G500" t="n">
        <v>20251018</v>
      </c>
      <c r="H500" t="inlineStr">
        <is>
          <t>2025-10-18</t>
        </is>
      </c>
      <c r="I500" t="n">
        <v>20251202</v>
      </c>
      <c r="J500" t="inlineStr">
        <is>
          <t>2025-12-02</t>
        </is>
      </c>
      <c r="K500" s="9" t="n">
        <v>59918.18</v>
      </c>
      <c r="L500" t="inlineStr">
        <is>
          <t>USD</t>
        </is>
      </c>
      <c r="M500" s="4" t="n">
        <v>59918.18</v>
      </c>
      <c r="N500" t="inlineStr">
        <is>
          <t>Paid</t>
        </is>
      </c>
      <c r="O500" t="inlineStr">
        <is>
          <t>False</t>
        </is>
      </c>
      <c r="P500" t="n">
        <v>45</v>
      </c>
      <c r="Q500">
        <f>VLOOKUP(D500,GL_Accounts!$A$2:$E$1048576,5,FALSE)</f>
        <v/>
      </c>
      <c r="R500">
        <f>VLOOKUP(D500,GL_Accounts!$A$2:$E$1048576,4,FALSE)</f>
        <v/>
      </c>
    </row>
    <row r="501">
      <c r="A501" t="inlineStr">
        <is>
          <t>INV200500</t>
        </is>
      </c>
      <c r="B501" t="n">
        <v>60</v>
      </c>
      <c r="C501" t="inlineStr">
        <is>
          <t>V0001</t>
        </is>
      </c>
      <c r="D501" t="n">
        <v>4</v>
      </c>
      <c r="E501" t="n">
        <v>60200</v>
      </c>
      <c r="F501" t="inlineStr">
        <is>
          <t>PO100378</t>
        </is>
      </c>
      <c r="G501" t="n">
        <v>20251111</v>
      </c>
      <c r="H501" t="inlineStr">
        <is>
          <t>2025-11-11</t>
        </is>
      </c>
      <c r="I501" t="n">
        <v>20251226</v>
      </c>
      <c r="J501" t="inlineStr">
        <is>
          <t>2025-12-26</t>
        </is>
      </c>
      <c r="K501" s="9" t="n">
        <v>30905.95</v>
      </c>
      <c r="L501" t="inlineStr">
        <is>
          <t>USD</t>
        </is>
      </c>
      <c r="M501" s="4" t="n">
        <v>30905.95</v>
      </c>
      <c r="N501" t="inlineStr">
        <is>
          <t>Paid</t>
        </is>
      </c>
      <c r="O501" t="inlineStr">
        <is>
          <t>False</t>
        </is>
      </c>
      <c r="P501" t="n">
        <v>45</v>
      </c>
      <c r="Q501">
        <f>VLOOKUP(D501,GL_Accounts!$A$2:$E$1048576,5,FALSE)</f>
        <v/>
      </c>
      <c r="R501">
        <f>VLOOKUP(D501,GL_Accounts!$A$2:$E$1048576,4,FALSE)</f>
        <v/>
      </c>
    </row>
    <row r="502">
      <c r="A502" t="inlineStr">
        <is>
          <t>INV200501</t>
        </is>
      </c>
      <c r="B502" t="n">
        <v>18</v>
      </c>
      <c r="C502" t="inlineStr">
        <is>
          <t>V0018</t>
        </is>
      </c>
      <c r="D502" t="n">
        <v>13</v>
      </c>
      <c r="E502" t="n">
        <v>62400</v>
      </c>
      <c r="F502" t="inlineStr">
        <is>
          <t>PO100379</t>
        </is>
      </c>
      <c r="G502" t="n">
        <v>20251108</v>
      </c>
      <c r="H502" t="inlineStr">
        <is>
          <t>2025-11-08</t>
        </is>
      </c>
      <c r="I502" t="n">
        <v>20251208</v>
      </c>
      <c r="J502" t="inlineStr">
        <is>
          <t>2025-12-08</t>
        </is>
      </c>
      <c r="K502" s="9" t="n">
        <v>2355.03</v>
      </c>
      <c r="L502" t="inlineStr">
        <is>
          <t>USD</t>
        </is>
      </c>
      <c r="M502" s="4" t="n">
        <v>2355.03</v>
      </c>
      <c r="N502" t="inlineStr">
        <is>
          <t>Paid</t>
        </is>
      </c>
      <c r="O502" t="inlineStr">
        <is>
          <t>False</t>
        </is>
      </c>
      <c r="P502" t="n">
        <v>30</v>
      </c>
      <c r="Q502">
        <f>VLOOKUP(D502,GL_Accounts!$A$2:$E$1048576,5,FALSE)</f>
        <v/>
      </c>
      <c r="R502">
        <f>VLOOKUP(D502,GL_Accounts!$A$2:$E$1048576,4,FALSE)</f>
        <v/>
      </c>
    </row>
    <row r="503">
      <c r="A503" t="inlineStr">
        <is>
          <t>INV200502</t>
        </is>
      </c>
      <c r="B503" t="n">
        <v>48</v>
      </c>
      <c r="C503" t="inlineStr">
        <is>
          <t>V0048</t>
        </is>
      </c>
      <c r="D503" t="n">
        <v>1</v>
      </c>
      <c r="E503" t="n">
        <v>60100</v>
      </c>
      <c r="F503" t="inlineStr">
        <is>
          <t>PO100380</t>
        </is>
      </c>
      <c r="G503" t="n">
        <v>20260302</v>
      </c>
      <c r="H503" t="inlineStr">
        <is>
          <t>2026-03-02</t>
        </is>
      </c>
      <c r="I503" t="n">
        <v>20260416</v>
      </c>
      <c r="J503" t="inlineStr">
        <is>
          <t>2026-04-16</t>
        </is>
      </c>
      <c r="K503" s="9" t="n">
        <v>109992.41</v>
      </c>
      <c r="L503" t="inlineStr">
        <is>
          <t>USD</t>
        </is>
      </c>
      <c r="M503" s="4" t="n">
        <v>109992.41</v>
      </c>
      <c r="N503" t="inlineStr">
        <is>
          <t>Paid</t>
        </is>
      </c>
      <c r="O503" t="inlineStr">
        <is>
          <t>False</t>
        </is>
      </c>
      <c r="P503" t="n">
        <v>45</v>
      </c>
      <c r="Q503">
        <f>VLOOKUP(D503,GL_Accounts!$A$2:$E$1048576,5,FALSE)</f>
        <v/>
      </c>
      <c r="R503">
        <f>VLOOKUP(D503,GL_Accounts!$A$2:$E$1048576,4,FALSE)</f>
        <v/>
      </c>
    </row>
    <row r="504">
      <c r="A504" t="inlineStr">
        <is>
          <t>INV200503</t>
        </is>
      </c>
      <c r="B504" t="n">
        <v>4</v>
      </c>
      <c r="C504" t="inlineStr">
        <is>
          <t>V0004</t>
        </is>
      </c>
      <c r="D504" t="n">
        <v>3</v>
      </c>
      <c r="E504" t="n">
        <v>60120</v>
      </c>
      <c r="F504" t="inlineStr">
        <is>
          <t>PO100382</t>
        </is>
      </c>
      <c r="G504" t="n">
        <v>20251102</v>
      </c>
      <c r="H504" t="inlineStr">
        <is>
          <t>2025-11-02</t>
        </is>
      </c>
      <c r="I504" t="n">
        <v>20251202</v>
      </c>
      <c r="J504" t="inlineStr">
        <is>
          <t>2025-12-02</t>
        </is>
      </c>
      <c r="K504" s="9" t="n">
        <v>3292.97</v>
      </c>
      <c r="L504" t="inlineStr">
        <is>
          <t>GBP</t>
        </is>
      </c>
      <c r="M504" s="4" t="n">
        <v>4182.07</v>
      </c>
      <c r="N504" t="inlineStr">
        <is>
          <t>Paid</t>
        </is>
      </c>
      <c r="O504" t="inlineStr">
        <is>
          <t>False</t>
        </is>
      </c>
      <c r="P504" t="n">
        <v>30</v>
      </c>
      <c r="Q504">
        <f>VLOOKUP(D504,GL_Accounts!$A$2:$E$1048576,5,FALSE)</f>
        <v/>
      </c>
      <c r="R504">
        <f>VLOOKUP(D504,GL_Accounts!$A$2:$E$1048576,4,FALSE)</f>
        <v/>
      </c>
    </row>
    <row r="505">
      <c r="A505" t="inlineStr">
        <is>
          <t>INV200504</t>
        </is>
      </c>
      <c r="B505" t="n">
        <v>4</v>
      </c>
      <c r="C505" t="inlineStr">
        <is>
          <t>V0004</t>
        </is>
      </c>
      <c r="D505" t="n">
        <v>1</v>
      </c>
      <c r="E505" t="n">
        <v>60100</v>
      </c>
      <c r="F505" t="inlineStr">
        <is>
          <t>PO100382</t>
        </is>
      </c>
      <c r="G505" t="n">
        <v>20251201</v>
      </c>
      <c r="H505" t="inlineStr">
        <is>
          <t>2025-12-01</t>
        </is>
      </c>
      <c r="I505" t="n">
        <v>20251231</v>
      </c>
      <c r="J505" t="inlineStr">
        <is>
          <t>2025-12-31</t>
        </is>
      </c>
      <c r="K505" s="9" t="n">
        <v>3313.21</v>
      </c>
      <c r="L505" t="inlineStr">
        <is>
          <t>GBP</t>
        </is>
      </c>
      <c r="M505" s="4" t="n">
        <v>4207.78</v>
      </c>
      <c r="N505" t="inlineStr">
        <is>
          <t>Paid</t>
        </is>
      </c>
      <c r="O505" t="inlineStr">
        <is>
          <t>False</t>
        </is>
      </c>
      <c r="P505" t="n">
        <v>30</v>
      </c>
      <c r="Q505">
        <f>VLOOKUP(D505,GL_Accounts!$A$2:$E$1048576,5,FALSE)</f>
        <v/>
      </c>
      <c r="R505">
        <f>VLOOKUP(D505,GL_Accounts!$A$2:$E$1048576,4,FALSE)</f>
        <v/>
      </c>
    </row>
    <row r="506">
      <c r="A506" t="inlineStr">
        <is>
          <t>INV200505</t>
        </is>
      </c>
      <c r="B506" t="n">
        <v>2</v>
      </c>
      <c r="C506" t="inlineStr">
        <is>
          <t>V0002</t>
        </is>
      </c>
      <c r="D506" t="n">
        <v>12</v>
      </c>
      <c r="E506" t="n">
        <v>62300</v>
      </c>
      <c r="F506" t="inlineStr">
        <is>
          <t>PO100383</t>
        </is>
      </c>
      <c r="G506" t="n">
        <v>20250922</v>
      </c>
      <c r="H506" t="inlineStr">
        <is>
          <t>2025-09-22</t>
        </is>
      </c>
      <c r="I506" t="n">
        <v>20251106</v>
      </c>
      <c r="J506" t="inlineStr">
        <is>
          <t>2025-11-06</t>
        </is>
      </c>
      <c r="K506" s="9" t="n">
        <v>9913</v>
      </c>
      <c r="L506" t="inlineStr">
        <is>
          <t>USD</t>
        </is>
      </c>
      <c r="M506" s="4" t="n">
        <v>9913</v>
      </c>
      <c r="N506" t="inlineStr">
        <is>
          <t>Paid</t>
        </is>
      </c>
      <c r="O506" t="inlineStr">
        <is>
          <t>False</t>
        </is>
      </c>
      <c r="P506" t="n">
        <v>45</v>
      </c>
      <c r="Q506">
        <f>VLOOKUP(D506,GL_Accounts!$A$2:$E$1048576,5,FALSE)</f>
        <v/>
      </c>
      <c r="R506">
        <f>VLOOKUP(D506,GL_Accounts!$A$2:$E$1048576,4,FALSE)</f>
        <v/>
      </c>
    </row>
    <row r="507">
      <c r="A507" t="inlineStr">
        <is>
          <t>INV200506</t>
        </is>
      </c>
      <c r="B507" t="n">
        <v>2</v>
      </c>
      <c r="C507" t="inlineStr">
        <is>
          <t>V0002</t>
        </is>
      </c>
      <c r="D507" t="n">
        <v>12</v>
      </c>
      <c r="E507" t="n">
        <v>62300</v>
      </c>
      <c r="F507" t="inlineStr">
        <is>
          <t>PO100384</t>
        </is>
      </c>
      <c r="G507" t="n">
        <v>20250129</v>
      </c>
      <c r="H507" t="inlineStr">
        <is>
          <t>2025-01-29</t>
        </is>
      </c>
      <c r="I507" t="n">
        <v>20250315</v>
      </c>
      <c r="J507" t="inlineStr">
        <is>
          <t>2025-03-15</t>
        </is>
      </c>
      <c r="K507" s="9" t="n">
        <v>673.48</v>
      </c>
      <c r="L507" t="inlineStr">
        <is>
          <t>USD</t>
        </is>
      </c>
      <c r="M507" s="4" t="n">
        <v>673.48</v>
      </c>
      <c r="N507" t="inlineStr">
        <is>
          <t>Paid</t>
        </is>
      </c>
      <c r="O507" t="inlineStr">
        <is>
          <t>False</t>
        </is>
      </c>
      <c r="P507" t="n">
        <v>45</v>
      </c>
      <c r="Q507">
        <f>VLOOKUP(D507,GL_Accounts!$A$2:$E$1048576,5,FALSE)</f>
        <v/>
      </c>
      <c r="R507">
        <f>VLOOKUP(D507,GL_Accounts!$A$2:$E$1048576,4,FALSE)</f>
        <v/>
      </c>
    </row>
    <row r="508">
      <c r="A508" t="inlineStr">
        <is>
          <t>INV200507</t>
        </is>
      </c>
      <c r="B508" t="n">
        <v>1</v>
      </c>
      <c r="C508" t="inlineStr">
        <is>
          <t>V0001</t>
        </is>
      </c>
      <c r="D508" t="n">
        <v>1</v>
      </c>
      <c r="E508" t="n">
        <v>60100</v>
      </c>
      <c r="F508" t="inlineStr">
        <is>
          <t>PO100385</t>
        </is>
      </c>
      <c r="G508" t="n">
        <v>20250904</v>
      </c>
      <c r="H508" t="inlineStr">
        <is>
          <t>2025-09-04</t>
        </is>
      </c>
      <c r="I508" t="n">
        <v>20251004</v>
      </c>
      <c r="J508" t="inlineStr">
        <is>
          <t>2025-10-04</t>
        </is>
      </c>
      <c r="K508" s="9" t="n">
        <v>6687.3</v>
      </c>
      <c r="L508" t="inlineStr">
        <is>
          <t>USD</t>
        </is>
      </c>
      <c r="M508" s="4" t="n">
        <v>6687.3</v>
      </c>
      <c r="N508" t="inlineStr">
        <is>
          <t>Paid</t>
        </is>
      </c>
      <c r="O508" t="inlineStr">
        <is>
          <t>False</t>
        </is>
      </c>
      <c r="P508" t="n">
        <v>30</v>
      </c>
      <c r="Q508">
        <f>VLOOKUP(D508,GL_Accounts!$A$2:$E$1048576,5,FALSE)</f>
        <v/>
      </c>
      <c r="R508">
        <f>VLOOKUP(D508,GL_Accounts!$A$2:$E$1048576,4,FALSE)</f>
        <v/>
      </c>
    </row>
    <row r="509">
      <c r="A509" t="inlineStr">
        <is>
          <t>INV200508</t>
        </is>
      </c>
      <c r="B509" t="n">
        <v>60</v>
      </c>
      <c r="C509" t="inlineStr">
        <is>
          <t>V0001</t>
        </is>
      </c>
      <c r="D509" t="n">
        <v>4</v>
      </c>
      <c r="E509" t="n">
        <v>60200</v>
      </c>
      <c r="F509" t="inlineStr">
        <is>
          <t>PO100385</t>
        </is>
      </c>
      <c r="G509" t="n">
        <v>20250917</v>
      </c>
      <c r="H509" t="inlineStr">
        <is>
          <t>2025-09-17</t>
        </is>
      </c>
      <c r="I509" t="n">
        <v>20251101</v>
      </c>
      <c r="J509" t="inlineStr">
        <is>
          <t>2025-11-01</t>
        </is>
      </c>
      <c r="K509" s="9" t="n">
        <v>4459.61</v>
      </c>
      <c r="L509" t="inlineStr">
        <is>
          <t>USD</t>
        </is>
      </c>
      <c r="M509" s="4" t="n">
        <v>4459.61</v>
      </c>
      <c r="N509" t="inlineStr">
        <is>
          <t>Paid</t>
        </is>
      </c>
      <c r="O509" t="inlineStr">
        <is>
          <t>False</t>
        </is>
      </c>
      <c r="P509" t="n">
        <v>45</v>
      </c>
      <c r="Q509">
        <f>VLOOKUP(D509,GL_Accounts!$A$2:$E$1048576,5,FALSE)</f>
        <v/>
      </c>
      <c r="R509">
        <f>VLOOKUP(D509,GL_Accounts!$A$2:$E$1048576,4,FALSE)</f>
        <v/>
      </c>
    </row>
    <row r="510">
      <c r="A510" t="inlineStr">
        <is>
          <t>INV200509</t>
        </is>
      </c>
      <c r="B510" t="n">
        <v>9</v>
      </c>
      <c r="C510" t="inlineStr">
        <is>
          <t>V0009</t>
        </is>
      </c>
      <c r="D510" t="n">
        <v>8</v>
      </c>
      <c r="E510" t="n">
        <v>61300</v>
      </c>
      <c r="F510" t="inlineStr">
        <is>
          <t>PO100386</t>
        </is>
      </c>
      <c r="G510" t="n">
        <v>20250923</v>
      </c>
      <c r="H510" t="inlineStr">
        <is>
          <t>2025-09-23</t>
        </is>
      </c>
      <c r="I510" t="n">
        <v>20251008</v>
      </c>
      <c r="J510" t="inlineStr">
        <is>
          <t>2025-10-08</t>
        </is>
      </c>
      <c r="K510" s="9" t="n">
        <v>2616.39</v>
      </c>
      <c r="L510" t="inlineStr">
        <is>
          <t>USD</t>
        </is>
      </c>
      <c r="M510" s="4" t="n">
        <v>2616.39</v>
      </c>
      <c r="N510" t="inlineStr">
        <is>
          <t>Paid</t>
        </is>
      </c>
      <c r="O510" t="inlineStr">
        <is>
          <t>False</t>
        </is>
      </c>
      <c r="P510" t="n">
        <v>15</v>
      </c>
      <c r="Q510">
        <f>VLOOKUP(D510,GL_Accounts!$A$2:$E$1048576,5,FALSE)</f>
        <v/>
      </c>
      <c r="R510">
        <f>VLOOKUP(D510,GL_Accounts!$A$2:$E$1048576,4,FALSE)</f>
        <v/>
      </c>
    </row>
    <row r="511">
      <c r="A511" t="inlineStr">
        <is>
          <t>INV200510</t>
        </is>
      </c>
      <c r="B511" t="n">
        <v>42</v>
      </c>
      <c r="C511" t="inlineStr">
        <is>
          <t>V0042</t>
        </is>
      </c>
      <c r="D511" t="n">
        <v>8</v>
      </c>
      <c r="E511" t="n">
        <v>61300</v>
      </c>
      <c r="F511" t="inlineStr">
        <is>
          <t>PO100387</t>
        </is>
      </c>
      <c r="G511" t="n">
        <v>20251001</v>
      </c>
      <c r="H511" t="inlineStr">
        <is>
          <t>2025-10-01</t>
        </is>
      </c>
      <c r="I511" t="n">
        <v>20251115</v>
      </c>
      <c r="J511" t="inlineStr">
        <is>
          <t>2025-11-15</t>
        </is>
      </c>
      <c r="K511" s="9" t="n">
        <v>37278.99</v>
      </c>
      <c r="L511" t="inlineStr">
        <is>
          <t>USD</t>
        </is>
      </c>
      <c r="M511" s="4" t="n">
        <v>37278.99</v>
      </c>
      <c r="N511" t="inlineStr">
        <is>
          <t>Paid</t>
        </is>
      </c>
      <c r="O511" t="inlineStr">
        <is>
          <t>False</t>
        </is>
      </c>
      <c r="P511" t="n">
        <v>45</v>
      </c>
      <c r="Q511">
        <f>VLOOKUP(D511,GL_Accounts!$A$2:$E$1048576,5,FALSE)</f>
        <v/>
      </c>
      <c r="R511">
        <f>VLOOKUP(D511,GL_Accounts!$A$2:$E$1048576,4,FALSE)</f>
        <v/>
      </c>
    </row>
    <row r="512">
      <c r="A512" t="inlineStr">
        <is>
          <t>INV200511</t>
        </is>
      </c>
      <c r="B512" t="n">
        <v>50</v>
      </c>
      <c r="C512" t="inlineStr">
        <is>
          <t>V0050</t>
        </is>
      </c>
      <c r="D512" t="n">
        <v>3</v>
      </c>
      <c r="E512" t="n">
        <v>60120</v>
      </c>
      <c r="F512" t="inlineStr">
        <is>
          <t>PO100388</t>
        </is>
      </c>
      <c r="G512" t="n">
        <v>20260207</v>
      </c>
      <c r="H512" t="inlineStr">
        <is>
          <t>2026-02-07</t>
        </is>
      </c>
      <c r="I512" t="n">
        <v>20260309</v>
      </c>
      <c r="J512" t="inlineStr">
        <is>
          <t>2026-03-09</t>
        </is>
      </c>
      <c r="K512" s="9" t="n">
        <v>39163.63</v>
      </c>
      <c r="L512" t="inlineStr">
        <is>
          <t>USD</t>
        </is>
      </c>
      <c r="M512" s="4" t="n">
        <v>39163.63</v>
      </c>
      <c r="N512" t="inlineStr">
        <is>
          <t>Paid</t>
        </is>
      </c>
      <c r="O512" t="inlineStr">
        <is>
          <t>False</t>
        </is>
      </c>
      <c r="P512" t="n">
        <v>30</v>
      </c>
      <c r="Q512">
        <f>VLOOKUP(D512,GL_Accounts!$A$2:$E$1048576,5,FALSE)</f>
        <v/>
      </c>
      <c r="R512">
        <f>VLOOKUP(D512,GL_Accounts!$A$2:$E$1048576,4,FALSE)</f>
        <v/>
      </c>
    </row>
    <row r="513">
      <c r="A513" t="inlineStr">
        <is>
          <t>INV200512</t>
        </is>
      </c>
      <c r="B513" t="n">
        <v>7</v>
      </c>
      <c r="C513" t="inlineStr">
        <is>
          <t>V0007</t>
        </is>
      </c>
      <c r="D513" t="n">
        <v>9</v>
      </c>
      <c r="E513" t="n">
        <v>61400</v>
      </c>
      <c r="F513" t="inlineStr">
        <is>
          <t>PO100389</t>
        </is>
      </c>
      <c r="G513" t="n">
        <v>20260122</v>
      </c>
      <c r="H513" t="inlineStr">
        <is>
          <t>2026-01-22</t>
        </is>
      </c>
      <c r="I513" t="n">
        <v>20260308</v>
      </c>
      <c r="J513" t="inlineStr">
        <is>
          <t>2026-03-08</t>
        </is>
      </c>
      <c r="K513" s="9" t="n">
        <v>10660.76</v>
      </c>
      <c r="L513" t="inlineStr">
        <is>
          <t>USD</t>
        </is>
      </c>
      <c r="M513" s="4" t="n">
        <v>10660.76</v>
      </c>
      <c r="N513" t="inlineStr">
        <is>
          <t>Paid</t>
        </is>
      </c>
      <c r="O513" t="inlineStr">
        <is>
          <t>False</t>
        </is>
      </c>
      <c r="P513" t="n">
        <v>45</v>
      </c>
      <c r="Q513">
        <f>VLOOKUP(D513,GL_Accounts!$A$2:$E$1048576,5,FALSE)</f>
        <v/>
      </c>
      <c r="R513">
        <f>VLOOKUP(D513,GL_Accounts!$A$2:$E$1048576,4,FALSE)</f>
        <v/>
      </c>
    </row>
    <row r="514">
      <c r="A514" t="inlineStr">
        <is>
          <t>INV200513</t>
        </is>
      </c>
      <c r="B514" t="n">
        <v>5</v>
      </c>
      <c r="C514" t="inlineStr">
        <is>
          <t>V0005</t>
        </is>
      </c>
      <c r="D514" t="n">
        <v>12</v>
      </c>
      <c r="E514" t="n">
        <v>62300</v>
      </c>
      <c r="F514" t="inlineStr">
        <is>
          <t>PO100390</t>
        </is>
      </c>
      <c r="G514" t="n">
        <v>20250201</v>
      </c>
      <c r="H514" t="inlineStr">
        <is>
          <t>2025-02-01</t>
        </is>
      </c>
      <c r="I514" t="n">
        <v>20250216</v>
      </c>
      <c r="J514" t="inlineStr">
        <is>
          <t>2025-02-16</t>
        </is>
      </c>
      <c r="K514" s="9" t="n">
        <v>813.72</v>
      </c>
      <c r="L514" t="inlineStr">
        <is>
          <t>USD</t>
        </is>
      </c>
      <c r="M514" s="4" t="n">
        <v>813.72</v>
      </c>
      <c r="N514" t="inlineStr">
        <is>
          <t>Paid</t>
        </is>
      </c>
      <c r="O514" t="inlineStr">
        <is>
          <t>False</t>
        </is>
      </c>
      <c r="P514" t="n">
        <v>15</v>
      </c>
      <c r="Q514">
        <f>VLOOKUP(D514,GL_Accounts!$A$2:$E$1048576,5,FALSE)</f>
        <v/>
      </c>
      <c r="R514">
        <f>VLOOKUP(D514,GL_Accounts!$A$2:$E$1048576,4,FALSE)</f>
        <v/>
      </c>
    </row>
    <row r="515">
      <c r="A515" t="inlineStr">
        <is>
          <t>INV200514</t>
        </is>
      </c>
      <c r="B515" t="n">
        <v>2</v>
      </c>
      <c r="C515" t="inlineStr">
        <is>
          <t>V0002</t>
        </is>
      </c>
      <c r="D515" t="n">
        <v>12</v>
      </c>
      <c r="E515" t="n">
        <v>62300</v>
      </c>
      <c r="F515" t="inlineStr">
        <is>
          <t>PO100391</t>
        </is>
      </c>
      <c r="G515" t="n">
        <v>20250730</v>
      </c>
      <c r="H515" t="inlineStr">
        <is>
          <t>2025-07-30</t>
        </is>
      </c>
      <c r="I515" t="n">
        <v>20250913</v>
      </c>
      <c r="J515" t="inlineStr">
        <is>
          <t>2025-09-13</t>
        </is>
      </c>
      <c r="K515" s="9" t="n">
        <v>3366.82</v>
      </c>
      <c r="L515" t="inlineStr">
        <is>
          <t>USD</t>
        </is>
      </c>
      <c r="M515" s="4" t="n">
        <v>3366.82</v>
      </c>
      <c r="N515" t="inlineStr">
        <is>
          <t>Paid</t>
        </is>
      </c>
      <c r="O515" t="inlineStr">
        <is>
          <t>False</t>
        </is>
      </c>
      <c r="P515" t="n">
        <v>45</v>
      </c>
      <c r="Q515">
        <f>VLOOKUP(D515,GL_Accounts!$A$2:$E$1048576,5,FALSE)</f>
        <v/>
      </c>
      <c r="R515">
        <f>VLOOKUP(D515,GL_Accounts!$A$2:$E$1048576,4,FALSE)</f>
        <v/>
      </c>
    </row>
    <row r="516">
      <c r="A516" t="inlineStr">
        <is>
          <t>INV200515</t>
        </is>
      </c>
      <c r="B516" t="n">
        <v>45</v>
      </c>
      <c r="C516" t="inlineStr">
        <is>
          <t>V0045</t>
        </is>
      </c>
      <c r="D516" t="n">
        <v>8</v>
      </c>
      <c r="E516" t="n">
        <v>61300</v>
      </c>
      <c r="F516" t="inlineStr">
        <is>
          <t>PO100392</t>
        </is>
      </c>
      <c r="G516" t="n">
        <v>20250126</v>
      </c>
      <c r="H516" t="inlineStr">
        <is>
          <t>2025-01-26</t>
        </is>
      </c>
      <c r="I516" t="n">
        <v>20250312</v>
      </c>
      <c r="J516" t="inlineStr">
        <is>
          <t>2025-03-12</t>
        </is>
      </c>
      <c r="K516" s="9" t="n">
        <v>2996.96</v>
      </c>
      <c r="L516" t="inlineStr">
        <is>
          <t>USD</t>
        </is>
      </c>
      <c r="M516" s="4" t="n">
        <v>2996.96</v>
      </c>
      <c r="N516" t="inlineStr">
        <is>
          <t>Paid</t>
        </is>
      </c>
      <c r="O516" t="inlineStr">
        <is>
          <t>False</t>
        </is>
      </c>
      <c r="P516" t="n">
        <v>45</v>
      </c>
      <c r="Q516">
        <f>VLOOKUP(D516,GL_Accounts!$A$2:$E$1048576,5,FALSE)</f>
        <v/>
      </c>
      <c r="R516">
        <f>VLOOKUP(D516,GL_Accounts!$A$2:$E$1048576,4,FALSE)</f>
        <v/>
      </c>
    </row>
    <row r="517">
      <c r="A517" t="inlineStr">
        <is>
          <t>INV200516</t>
        </is>
      </c>
      <c r="B517" t="n">
        <v>45</v>
      </c>
      <c r="C517" t="inlineStr">
        <is>
          <t>V0045</t>
        </is>
      </c>
      <c r="D517" t="n">
        <v>9</v>
      </c>
      <c r="E517" t="n">
        <v>61400</v>
      </c>
      <c r="F517" t="inlineStr">
        <is>
          <t>PO100392</t>
        </is>
      </c>
      <c r="G517" t="n">
        <v>20250321</v>
      </c>
      <c r="H517" t="inlineStr">
        <is>
          <t>2025-03-21</t>
        </is>
      </c>
      <c r="I517" t="n">
        <v>20250505</v>
      </c>
      <c r="J517" t="inlineStr">
        <is>
          <t>2025-05-05</t>
        </is>
      </c>
      <c r="K517" s="9" t="n">
        <v>5006.29</v>
      </c>
      <c r="L517" t="inlineStr">
        <is>
          <t>USD</t>
        </is>
      </c>
      <c r="M517" s="4" t="n">
        <v>5006.29</v>
      </c>
      <c r="N517" t="inlineStr">
        <is>
          <t>Paid</t>
        </is>
      </c>
      <c r="O517" t="inlineStr">
        <is>
          <t>False</t>
        </is>
      </c>
      <c r="P517" t="n">
        <v>45</v>
      </c>
      <c r="Q517">
        <f>VLOOKUP(D517,GL_Accounts!$A$2:$E$1048576,5,FALSE)</f>
        <v/>
      </c>
      <c r="R517">
        <f>VLOOKUP(D517,GL_Accounts!$A$2:$E$1048576,4,FALSE)</f>
        <v/>
      </c>
    </row>
    <row r="518">
      <c r="A518" t="inlineStr">
        <is>
          <t>INV200517</t>
        </is>
      </c>
      <c r="B518" t="n">
        <v>31</v>
      </c>
      <c r="C518" t="inlineStr">
        <is>
          <t>V0031</t>
        </is>
      </c>
      <c r="D518" t="n">
        <v>3</v>
      </c>
      <c r="E518" t="n">
        <v>60120</v>
      </c>
      <c r="F518" t="inlineStr">
        <is>
          <t>PO100393</t>
        </is>
      </c>
      <c r="G518" t="n">
        <v>20250414</v>
      </c>
      <c r="H518" t="inlineStr">
        <is>
          <t>2025-04-14</t>
        </is>
      </c>
      <c r="I518" t="n">
        <v>20250514</v>
      </c>
      <c r="J518" t="inlineStr">
        <is>
          <t>2025-05-14</t>
        </is>
      </c>
      <c r="K518" s="9" t="n">
        <v>7013.59</v>
      </c>
      <c r="L518" t="inlineStr">
        <is>
          <t>USD</t>
        </is>
      </c>
      <c r="M518" s="4" t="n">
        <v>7013.59</v>
      </c>
      <c r="N518" t="inlineStr">
        <is>
          <t>Paid</t>
        </is>
      </c>
      <c r="O518" t="inlineStr">
        <is>
          <t>False</t>
        </is>
      </c>
      <c r="P518" t="n">
        <v>30</v>
      </c>
      <c r="Q518">
        <f>VLOOKUP(D518,GL_Accounts!$A$2:$E$1048576,5,FALSE)</f>
        <v/>
      </c>
      <c r="R518">
        <f>VLOOKUP(D518,GL_Accounts!$A$2:$E$1048576,4,FALSE)</f>
        <v/>
      </c>
    </row>
    <row r="519">
      <c r="A519" t="inlineStr">
        <is>
          <t>INV200518</t>
        </is>
      </c>
      <c r="B519" t="n">
        <v>7</v>
      </c>
      <c r="C519" t="inlineStr">
        <is>
          <t>V0007</t>
        </is>
      </c>
      <c r="D519" t="n">
        <v>7</v>
      </c>
      <c r="E519" t="n">
        <v>61200</v>
      </c>
      <c r="F519" t="inlineStr">
        <is>
          <t>PO100394</t>
        </is>
      </c>
      <c r="G519" t="n">
        <v>20260807</v>
      </c>
      <c r="H519" t="inlineStr">
        <is>
          <t>2026-08-07</t>
        </is>
      </c>
      <c r="I519" t="n">
        <v>20260921</v>
      </c>
      <c r="J519" t="inlineStr">
        <is>
          <t>2026-09-21</t>
        </is>
      </c>
      <c r="K519" s="9" t="n">
        <v>2448.46</v>
      </c>
      <c r="L519" t="inlineStr">
        <is>
          <t>USD</t>
        </is>
      </c>
      <c r="M519" s="4" t="n">
        <v>2448.46</v>
      </c>
      <c r="N519" t="inlineStr">
        <is>
          <t>Paid</t>
        </is>
      </c>
      <c r="O519" t="inlineStr">
        <is>
          <t>False</t>
        </is>
      </c>
      <c r="P519" t="n">
        <v>45</v>
      </c>
      <c r="Q519">
        <f>VLOOKUP(D519,GL_Accounts!$A$2:$E$1048576,5,FALSE)</f>
        <v/>
      </c>
      <c r="R519">
        <f>VLOOKUP(D519,GL_Accounts!$A$2:$E$1048576,4,FALSE)</f>
        <v/>
      </c>
    </row>
    <row r="520">
      <c r="A520" t="inlineStr">
        <is>
          <t>INV200519</t>
        </is>
      </c>
      <c r="B520" t="n">
        <v>47</v>
      </c>
      <c r="C520" t="inlineStr">
        <is>
          <t>V0047</t>
        </is>
      </c>
      <c r="D520" t="n">
        <v>20</v>
      </c>
      <c r="E520" t="n">
        <v>65100</v>
      </c>
      <c r="F520" t="inlineStr">
        <is>
          <t>PO100395</t>
        </is>
      </c>
      <c r="G520" t="n">
        <v>20241228</v>
      </c>
      <c r="H520" t="inlineStr">
        <is>
          <t>2024-12-28</t>
        </is>
      </c>
      <c r="I520" t="n">
        <v>20250127</v>
      </c>
      <c r="J520" t="inlineStr">
        <is>
          <t>2025-01-27</t>
        </is>
      </c>
      <c r="K520" s="9" t="n">
        <v>457.19</v>
      </c>
      <c r="L520" t="inlineStr">
        <is>
          <t>USD</t>
        </is>
      </c>
      <c r="M520" s="4" t="n">
        <v>457.19</v>
      </c>
      <c r="N520" t="inlineStr">
        <is>
          <t>Paid</t>
        </is>
      </c>
      <c r="O520" t="inlineStr">
        <is>
          <t>False</t>
        </is>
      </c>
      <c r="P520" t="n">
        <v>30</v>
      </c>
      <c r="Q520">
        <f>VLOOKUP(D520,GL_Accounts!$A$2:$E$1048576,5,FALSE)</f>
        <v/>
      </c>
      <c r="R520">
        <f>VLOOKUP(D520,GL_Accounts!$A$2:$E$1048576,4,FALSE)</f>
        <v/>
      </c>
    </row>
    <row r="521">
      <c r="A521" t="inlineStr">
        <is>
          <t>INV200520</t>
        </is>
      </c>
      <c r="B521" t="n">
        <v>47</v>
      </c>
      <c r="C521" t="inlineStr">
        <is>
          <t>V0047</t>
        </is>
      </c>
      <c r="D521" t="n">
        <v>14</v>
      </c>
      <c r="E521" t="n">
        <v>63100</v>
      </c>
      <c r="F521" t="inlineStr">
        <is>
          <t>PO100396</t>
        </is>
      </c>
      <c r="G521" t="n">
        <v>20251129</v>
      </c>
      <c r="H521" t="inlineStr">
        <is>
          <t>2025-11-29</t>
        </is>
      </c>
      <c r="I521" t="n">
        <v>20251229</v>
      </c>
      <c r="J521" t="inlineStr">
        <is>
          <t>2025-12-29</t>
        </is>
      </c>
      <c r="K521" s="9" t="n">
        <v>533.15</v>
      </c>
      <c r="L521" t="inlineStr">
        <is>
          <t>USD</t>
        </is>
      </c>
      <c r="M521" s="4" t="n">
        <v>533.15</v>
      </c>
      <c r="N521" t="inlineStr">
        <is>
          <t>Paid</t>
        </is>
      </c>
      <c r="O521" t="inlineStr">
        <is>
          <t>False</t>
        </is>
      </c>
      <c r="P521" t="n">
        <v>30</v>
      </c>
      <c r="Q521">
        <f>VLOOKUP(D521,GL_Accounts!$A$2:$E$1048576,5,FALSE)</f>
        <v/>
      </c>
      <c r="R521">
        <f>VLOOKUP(D521,GL_Accounts!$A$2:$E$1048576,4,FALSE)</f>
        <v/>
      </c>
    </row>
    <row r="522">
      <c r="A522" t="inlineStr">
        <is>
          <t>INV200521</t>
        </is>
      </c>
      <c r="B522" t="n">
        <v>4</v>
      </c>
      <c r="C522" t="inlineStr">
        <is>
          <t>V0004</t>
        </is>
      </c>
      <c r="D522" t="n">
        <v>2</v>
      </c>
      <c r="E522" t="n">
        <v>60110</v>
      </c>
      <c r="F522" t="inlineStr">
        <is>
          <t>PO100397</t>
        </is>
      </c>
      <c r="G522" t="n">
        <v>20260329</v>
      </c>
      <c r="H522" t="inlineStr">
        <is>
          <t>2026-03-29</t>
        </is>
      </c>
      <c r="I522" t="n">
        <v>20260428</v>
      </c>
      <c r="J522" t="inlineStr">
        <is>
          <t>2026-04-28</t>
        </is>
      </c>
      <c r="K522" s="9" t="n">
        <v>113609.56</v>
      </c>
      <c r="L522" t="inlineStr">
        <is>
          <t>GBP</t>
        </is>
      </c>
      <c r="M522" s="4" t="n">
        <v>144284.14</v>
      </c>
      <c r="N522" t="inlineStr">
        <is>
          <t>Paid</t>
        </is>
      </c>
      <c r="O522" t="inlineStr">
        <is>
          <t>False</t>
        </is>
      </c>
      <c r="P522" t="n">
        <v>30</v>
      </c>
      <c r="Q522">
        <f>VLOOKUP(D522,GL_Accounts!$A$2:$E$1048576,5,FALSE)</f>
        <v/>
      </c>
      <c r="R522">
        <f>VLOOKUP(D522,GL_Accounts!$A$2:$E$1048576,4,FALSE)</f>
        <v/>
      </c>
    </row>
    <row r="523">
      <c r="A523" t="inlineStr">
        <is>
          <t>INV200522</t>
        </is>
      </c>
      <c r="B523" t="n">
        <v>42</v>
      </c>
      <c r="C523" t="inlineStr">
        <is>
          <t>V0042</t>
        </is>
      </c>
      <c r="D523" t="n">
        <v>17</v>
      </c>
      <c r="E523" t="n">
        <v>64100</v>
      </c>
      <c r="F523" t="inlineStr">
        <is>
          <t>PO100398</t>
        </is>
      </c>
      <c r="G523" t="n">
        <v>20250924</v>
      </c>
      <c r="H523" t="inlineStr">
        <is>
          <t>2025-09-24</t>
        </is>
      </c>
      <c r="I523" t="n">
        <v>20251108</v>
      </c>
      <c r="J523" t="inlineStr">
        <is>
          <t>2025-11-08</t>
        </is>
      </c>
      <c r="K523" s="9" t="n">
        <v>97848.78</v>
      </c>
      <c r="L523" t="inlineStr">
        <is>
          <t>USD</t>
        </is>
      </c>
      <c r="M523" s="4" t="n">
        <v>97848.78</v>
      </c>
      <c r="N523" t="inlineStr">
        <is>
          <t>Paid</t>
        </is>
      </c>
      <c r="O523" t="inlineStr">
        <is>
          <t>False</t>
        </is>
      </c>
      <c r="P523" t="n">
        <v>45</v>
      </c>
      <c r="Q523">
        <f>VLOOKUP(D523,GL_Accounts!$A$2:$E$1048576,5,FALSE)</f>
        <v/>
      </c>
      <c r="R523">
        <f>VLOOKUP(D523,GL_Accounts!$A$2:$E$1048576,4,FALSE)</f>
        <v/>
      </c>
    </row>
    <row r="524">
      <c r="A524" t="inlineStr">
        <is>
          <t>INV200523</t>
        </is>
      </c>
      <c r="B524" t="n">
        <v>30</v>
      </c>
      <c r="C524" t="inlineStr">
        <is>
          <t>V0030</t>
        </is>
      </c>
      <c r="D524" t="n">
        <v>17</v>
      </c>
      <c r="E524" t="n">
        <v>64100</v>
      </c>
      <c r="F524" t="inlineStr">
        <is>
          <t>PO100399</t>
        </is>
      </c>
      <c r="G524" t="n">
        <v>20250726</v>
      </c>
      <c r="H524" t="inlineStr">
        <is>
          <t>2025-07-26</t>
        </is>
      </c>
      <c r="I524" t="n">
        <v>20250825</v>
      </c>
      <c r="J524" t="inlineStr">
        <is>
          <t>2025-08-25</t>
        </is>
      </c>
      <c r="K524" s="9" t="n">
        <v>18505.47</v>
      </c>
      <c r="L524" t="inlineStr">
        <is>
          <t>USD</t>
        </is>
      </c>
      <c r="M524" s="4" t="n">
        <v>18505.47</v>
      </c>
      <c r="N524" t="inlineStr">
        <is>
          <t>Paid</t>
        </is>
      </c>
      <c r="O524" t="inlineStr">
        <is>
          <t>False</t>
        </is>
      </c>
      <c r="P524" t="n">
        <v>30</v>
      </c>
      <c r="Q524">
        <f>VLOOKUP(D524,GL_Accounts!$A$2:$E$1048576,5,FALSE)</f>
        <v/>
      </c>
      <c r="R524">
        <f>VLOOKUP(D524,GL_Accounts!$A$2:$E$1048576,4,FALSE)</f>
        <v/>
      </c>
    </row>
    <row r="525">
      <c r="A525" t="inlineStr">
        <is>
          <t>INV200524</t>
        </is>
      </c>
      <c r="B525" t="n">
        <v>30</v>
      </c>
      <c r="C525" t="inlineStr">
        <is>
          <t>V0030</t>
        </is>
      </c>
      <c r="D525" t="n">
        <v>8</v>
      </c>
      <c r="E525" t="n">
        <v>61300</v>
      </c>
      <c r="F525" t="inlineStr">
        <is>
          <t>PO100399</t>
        </is>
      </c>
      <c r="G525" t="n">
        <v>20250812</v>
      </c>
      <c r="H525" t="inlineStr">
        <is>
          <t>2025-08-12</t>
        </is>
      </c>
      <c r="I525" t="n">
        <v>20250911</v>
      </c>
      <c r="J525" t="inlineStr">
        <is>
          <t>2025-09-11</t>
        </is>
      </c>
      <c r="K525" s="9" t="n">
        <v>20946.04</v>
      </c>
      <c r="L525" t="inlineStr">
        <is>
          <t>USD</t>
        </is>
      </c>
      <c r="M525" s="4" t="n">
        <v>20946.04</v>
      </c>
      <c r="N525" t="inlineStr">
        <is>
          <t>Paid</t>
        </is>
      </c>
      <c r="O525" t="inlineStr">
        <is>
          <t>False</t>
        </is>
      </c>
      <c r="P525" t="n">
        <v>30</v>
      </c>
      <c r="Q525">
        <f>VLOOKUP(D525,GL_Accounts!$A$2:$E$1048576,5,FALSE)</f>
        <v/>
      </c>
      <c r="R525">
        <f>VLOOKUP(D525,GL_Accounts!$A$2:$E$1048576,4,FALSE)</f>
        <v/>
      </c>
    </row>
    <row r="526">
      <c r="A526" t="inlineStr">
        <is>
          <t>INV200525</t>
        </is>
      </c>
      <c r="B526" t="n">
        <v>29</v>
      </c>
      <c r="C526" t="inlineStr">
        <is>
          <t>V0029</t>
        </is>
      </c>
      <c r="D526" t="n">
        <v>17</v>
      </c>
      <c r="E526" t="n">
        <v>64100</v>
      </c>
      <c r="F526" t="inlineStr">
        <is>
          <t>PO100400</t>
        </is>
      </c>
      <c r="G526" t="n">
        <v>20250115</v>
      </c>
      <c r="H526" t="inlineStr">
        <is>
          <t>2025-01-15</t>
        </is>
      </c>
      <c r="I526" t="n">
        <v>20250316</v>
      </c>
      <c r="J526" t="inlineStr">
        <is>
          <t>2025-03-16</t>
        </is>
      </c>
      <c r="K526" s="9" t="n">
        <v>5492.65</v>
      </c>
      <c r="L526" t="inlineStr">
        <is>
          <t>USD</t>
        </is>
      </c>
      <c r="M526" s="4" t="n">
        <v>5492.65</v>
      </c>
      <c r="N526" t="inlineStr">
        <is>
          <t>Paid</t>
        </is>
      </c>
      <c r="O526" t="inlineStr">
        <is>
          <t>False</t>
        </is>
      </c>
      <c r="P526" t="n">
        <v>60</v>
      </c>
      <c r="Q526">
        <f>VLOOKUP(D526,GL_Accounts!$A$2:$E$1048576,5,FALSE)</f>
        <v/>
      </c>
      <c r="R526">
        <f>VLOOKUP(D526,GL_Accounts!$A$2:$E$1048576,4,FALSE)</f>
        <v/>
      </c>
    </row>
    <row r="527">
      <c r="A527" t="inlineStr">
        <is>
          <t>INV200526</t>
        </is>
      </c>
      <c r="B527" t="n">
        <v>29</v>
      </c>
      <c r="C527" t="inlineStr">
        <is>
          <t>V0029</t>
        </is>
      </c>
      <c r="D527" t="n">
        <v>17</v>
      </c>
      <c r="E527" t="n">
        <v>64100</v>
      </c>
      <c r="F527" t="inlineStr">
        <is>
          <t>PO100400</t>
        </is>
      </c>
      <c r="G527" t="n">
        <v>20250120</v>
      </c>
      <c r="H527" t="inlineStr">
        <is>
          <t>2025-01-20</t>
        </is>
      </c>
      <c r="I527" t="n">
        <v>20250321</v>
      </c>
      <c r="J527" t="inlineStr">
        <is>
          <t>2025-03-21</t>
        </is>
      </c>
      <c r="K527" s="9" t="n">
        <v>7261.94</v>
      </c>
      <c r="L527" t="inlineStr">
        <is>
          <t>USD</t>
        </is>
      </c>
      <c r="M527" s="4" t="n">
        <v>7261.94</v>
      </c>
      <c r="N527" t="inlineStr">
        <is>
          <t>Paid</t>
        </is>
      </c>
      <c r="O527" t="inlineStr">
        <is>
          <t>False</t>
        </is>
      </c>
      <c r="P527" t="n">
        <v>60</v>
      </c>
      <c r="Q527">
        <f>VLOOKUP(D527,GL_Accounts!$A$2:$E$1048576,5,FALSE)</f>
        <v/>
      </c>
      <c r="R527">
        <f>VLOOKUP(D527,GL_Accounts!$A$2:$E$1048576,4,FALSE)</f>
        <v/>
      </c>
    </row>
    <row r="528">
      <c r="A528" t="inlineStr">
        <is>
          <t>INV200527</t>
        </is>
      </c>
      <c r="B528" t="n">
        <v>17</v>
      </c>
      <c r="C528" t="inlineStr">
        <is>
          <t>V0017</t>
        </is>
      </c>
      <c r="D528" t="n">
        <v>8</v>
      </c>
      <c r="E528" t="n">
        <v>61300</v>
      </c>
      <c r="F528" t="inlineStr">
        <is>
          <t>PO100401</t>
        </is>
      </c>
      <c r="G528" t="n">
        <v>20250618</v>
      </c>
      <c r="H528" t="inlineStr">
        <is>
          <t>2025-06-18</t>
        </is>
      </c>
      <c r="I528" t="n">
        <v>20250802</v>
      </c>
      <c r="J528" t="inlineStr">
        <is>
          <t>2025-08-02</t>
        </is>
      </c>
      <c r="K528" s="9" t="n">
        <v>7086.31</v>
      </c>
      <c r="L528" t="inlineStr">
        <is>
          <t>USD</t>
        </is>
      </c>
      <c r="M528" s="4" t="n">
        <v>7086.31</v>
      </c>
      <c r="N528" t="inlineStr">
        <is>
          <t>Paid</t>
        </is>
      </c>
      <c r="O528" t="inlineStr">
        <is>
          <t>False</t>
        </is>
      </c>
      <c r="P528" t="n">
        <v>45</v>
      </c>
      <c r="Q528">
        <f>VLOOKUP(D528,GL_Accounts!$A$2:$E$1048576,5,FALSE)</f>
        <v/>
      </c>
      <c r="R528">
        <f>VLOOKUP(D528,GL_Accounts!$A$2:$E$1048576,4,FALSE)</f>
        <v/>
      </c>
    </row>
    <row r="529">
      <c r="A529" t="inlineStr">
        <is>
          <t>INV200528</t>
        </is>
      </c>
      <c r="B529" t="n">
        <v>17</v>
      </c>
      <c r="C529" t="inlineStr">
        <is>
          <t>V0017</t>
        </is>
      </c>
      <c r="D529" t="n">
        <v>8</v>
      </c>
      <c r="E529" t="n">
        <v>61300</v>
      </c>
      <c r="F529" t="inlineStr">
        <is>
          <t>PO100401</t>
        </is>
      </c>
      <c r="G529" t="n">
        <v>20250725</v>
      </c>
      <c r="H529" t="inlineStr">
        <is>
          <t>2025-07-25</t>
        </is>
      </c>
      <c r="I529" t="n">
        <v>20250908</v>
      </c>
      <c r="J529" t="inlineStr">
        <is>
          <t>2025-09-08</t>
        </is>
      </c>
      <c r="K529" s="9" t="n">
        <v>3758.77</v>
      </c>
      <c r="L529" t="inlineStr">
        <is>
          <t>USD</t>
        </is>
      </c>
      <c r="M529" s="4" t="n">
        <v>3758.77</v>
      </c>
      <c r="N529" t="inlineStr">
        <is>
          <t>Paid</t>
        </is>
      </c>
      <c r="O529" t="inlineStr">
        <is>
          <t>False</t>
        </is>
      </c>
      <c r="P529" t="n">
        <v>45</v>
      </c>
      <c r="Q529">
        <f>VLOOKUP(D529,GL_Accounts!$A$2:$E$1048576,5,FALSE)</f>
        <v/>
      </c>
      <c r="R529">
        <f>VLOOKUP(D529,GL_Accounts!$A$2:$E$1048576,4,FALSE)</f>
        <v/>
      </c>
    </row>
    <row r="530">
      <c r="A530" t="inlineStr">
        <is>
          <t>INV200529</t>
        </is>
      </c>
      <c r="B530" t="n">
        <v>17</v>
      </c>
      <c r="C530" t="inlineStr">
        <is>
          <t>V0017</t>
        </is>
      </c>
      <c r="D530" t="n">
        <v>6</v>
      </c>
      <c r="E530" t="n">
        <v>61100</v>
      </c>
      <c r="F530" t="inlineStr">
        <is>
          <t>PO100401</t>
        </is>
      </c>
      <c r="G530" t="n">
        <v>20250722</v>
      </c>
      <c r="H530" t="inlineStr">
        <is>
          <t>2025-07-22</t>
        </is>
      </c>
      <c r="I530" t="n">
        <v>20250905</v>
      </c>
      <c r="J530" t="inlineStr">
        <is>
          <t>2025-09-05</t>
        </is>
      </c>
      <c r="K530" s="9" t="n">
        <v>3896.02</v>
      </c>
      <c r="L530" t="inlineStr">
        <is>
          <t>USD</t>
        </is>
      </c>
      <c r="M530" s="4" t="n">
        <v>3896.02</v>
      </c>
      <c r="N530" t="inlineStr">
        <is>
          <t>Paid</t>
        </is>
      </c>
      <c r="O530" t="inlineStr">
        <is>
          <t>False</t>
        </is>
      </c>
      <c r="P530" t="n">
        <v>45</v>
      </c>
      <c r="Q530">
        <f>VLOOKUP(D530,GL_Accounts!$A$2:$E$1048576,5,FALSE)</f>
        <v/>
      </c>
      <c r="R530">
        <f>VLOOKUP(D530,GL_Accounts!$A$2:$E$1048576,4,FALSE)</f>
        <v/>
      </c>
    </row>
    <row r="531">
      <c r="A531" t="inlineStr">
        <is>
          <t>INV200530</t>
        </is>
      </c>
      <c r="B531" t="n">
        <v>2</v>
      </c>
      <c r="C531" t="inlineStr">
        <is>
          <t>V0002</t>
        </is>
      </c>
      <c r="D531" t="n">
        <v>10</v>
      </c>
      <c r="E531" t="n">
        <v>62100</v>
      </c>
      <c r="F531" t="inlineStr">
        <is>
          <t>PO100402</t>
        </is>
      </c>
      <c r="G531" t="n">
        <v>20251007</v>
      </c>
      <c r="H531" t="inlineStr">
        <is>
          <t>2025-10-07</t>
        </is>
      </c>
      <c r="I531" t="n">
        <v>20251121</v>
      </c>
      <c r="J531" t="inlineStr">
        <is>
          <t>2025-11-21</t>
        </is>
      </c>
      <c r="K531" s="9" t="n">
        <v>4298.27</v>
      </c>
      <c r="L531" t="inlineStr">
        <is>
          <t>USD</t>
        </is>
      </c>
      <c r="M531" s="4" t="n">
        <v>4298.27</v>
      </c>
      <c r="N531" t="inlineStr">
        <is>
          <t>Paid</t>
        </is>
      </c>
      <c r="O531" t="inlineStr">
        <is>
          <t>False</t>
        </is>
      </c>
      <c r="P531" t="n">
        <v>45</v>
      </c>
      <c r="Q531">
        <f>VLOOKUP(D531,GL_Accounts!$A$2:$E$1048576,5,FALSE)</f>
        <v/>
      </c>
      <c r="R531">
        <f>VLOOKUP(D531,GL_Accounts!$A$2:$E$1048576,4,FALSE)</f>
        <v/>
      </c>
    </row>
    <row r="532">
      <c r="A532" t="inlineStr">
        <is>
          <t>INV200531</t>
        </is>
      </c>
      <c r="B532" t="n">
        <v>22</v>
      </c>
      <c r="C532" t="inlineStr">
        <is>
          <t>V0022</t>
        </is>
      </c>
      <c r="D532" t="n">
        <v>7</v>
      </c>
      <c r="E532" t="n">
        <v>61200</v>
      </c>
      <c r="F532" t="inlineStr">
        <is>
          <t>PO100403</t>
        </is>
      </c>
      <c r="G532" t="n">
        <v>20260514</v>
      </c>
      <c r="H532" t="inlineStr">
        <is>
          <t>2026-05-14</t>
        </is>
      </c>
      <c r="I532" t="n">
        <v>20260613</v>
      </c>
      <c r="J532" t="inlineStr">
        <is>
          <t>2026-06-13</t>
        </is>
      </c>
      <c r="K532" s="9" t="n">
        <v>2524.64</v>
      </c>
      <c r="L532" t="inlineStr">
        <is>
          <t>USD</t>
        </is>
      </c>
      <c r="M532" s="4" t="n">
        <v>2524.64</v>
      </c>
      <c r="N532" t="inlineStr">
        <is>
          <t>Unpaid</t>
        </is>
      </c>
      <c r="O532" t="inlineStr">
        <is>
          <t>False</t>
        </is>
      </c>
      <c r="P532" t="n">
        <v>30</v>
      </c>
      <c r="Q532">
        <f>VLOOKUP(D532,GL_Accounts!$A$2:$E$1048576,5,FALSE)</f>
        <v/>
      </c>
      <c r="R532">
        <f>VLOOKUP(D532,GL_Accounts!$A$2:$E$1048576,4,FALSE)</f>
        <v/>
      </c>
    </row>
    <row r="533">
      <c r="A533" t="inlineStr">
        <is>
          <t>INV200532</t>
        </is>
      </c>
      <c r="B533" t="n">
        <v>30</v>
      </c>
      <c r="C533" t="inlineStr">
        <is>
          <t>V0030</t>
        </is>
      </c>
      <c r="D533" t="n">
        <v>19</v>
      </c>
      <c r="E533" t="n">
        <v>64300</v>
      </c>
      <c r="F533" t="inlineStr">
        <is>
          <t>PO100404</t>
        </is>
      </c>
      <c r="G533" t="n">
        <v>20250528</v>
      </c>
      <c r="H533" t="inlineStr">
        <is>
          <t>2025-05-28</t>
        </is>
      </c>
      <c r="I533" t="n">
        <v>20250627</v>
      </c>
      <c r="J533" t="inlineStr">
        <is>
          <t>2025-06-27</t>
        </is>
      </c>
      <c r="K533" s="9" t="n">
        <v>6266.29</v>
      </c>
      <c r="L533" t="inlineStr">
        <is>
          <t>USD</t>
        </is>
      </c>
      <c r="M533" s="4" t="n">
        <v>6266.29</v>
      </c>
      <c r="N533" t="inlineStr">
        <is>
          <t>Paid</t>
        </is>
      </c>
      <c r="O533" t="inlineStr">
        <is>
          <t>False</t>
        </is>
      </c>
      <c r="P533" t="n">
        <v>30</v>
      </c>
      <c r="Q533">
        <f>VLOOKUP(D533,GL_Accounts!$A$2:$E$1048576,5,FALSE)</f>
        <v/>
      </c>
      <c r="R533">
        <f>VLOOKUP(D533,GL_Accounts!$A$2:$E$1048576,4,FALSE)</f>
        <v/>
      </c>
    </row>
    <row r="534">
      <c r="A534" t="inlineStr">
        <is>
          <t>INV200533</t>
        </is>
      </c>
      <c r="B534" t="n">
        <v>28</v>
      </c>
      <c r="C534" t="inlineStr">
        <is>
          <t>V0028</t>
        </is>
      </c>
      <c r="D534" t="n">
        <v>19</v>
      </c>
      <c r="E534" t="n">
        <v>64300</v>
      </c>
      <c r="F534" t="inlineStr">
        <is>
          <t>PO100405</t>
        </is>
      </c>
      <c r="G534" t="n">
        <v>20250903</v>
      </c>
      <c r="H534" t="inlineStr">
        <is>
          <t>2025-09-03</t>
        </is>
      </c>
      <c r="I534" t="n">
        <v>20251102</v>
      </c>
      <c r="J534" t="inlineStr">
        <is>
          <t>2025-11-02</t>
        </is>
      </c>
      <c r="K534" s="9" t="n">
        <v>28000.84</v>
      </c>
      <c r="L534" t="inlineStr">
        <is>
          <t>USD</t>
        </is>
      </c>
      <c r="M534" s="4" t="n">
        <v>28000.84</v>
      </c>
      <c r="N534" t="inlineStr">
        <is>
          <t>Paid</t>
        </is>
      </c>
      <c r="O534" t="inlineStr">
        <is>
          <t>False</t>
        </is>
      </c>
      <c r="P534" t="n">
        <v>60</v>
      </c>
      <c r="Q534">
        <f>VLOOKUP(D534,GL_Accounts!$A$2:$E$1048576,5,FALSE)</f>
        <v/>
      </c>
      <c r="R534">
        <f>VLOOKUP(D534,GL_Accounts!$A$2:$E$1048576,4,FALSE)</f>
        <v/>
      </c>
    </row>
    <row r="535">
      <c r="A535" t="inlineStr">
        <is>
          <t>INV200534</t>
        </is>
      </c>
      <c r="B535" t="n">
        <v>42</v>
      </c>
      <c r="C535" t="inlineStr">
        <is>
          <t>V0042</t>
        </is>
      </c>
      <c r="D535" t="n">
        <v>16</v>
      </c>
      <c r="E535" t="n">
        <v>63300</v>
      </c>
      <c r="F535" t="inlineStr">
        <is>
          <t>PO100406</t>
        </is>
      </c>
      <c r="G535" t="n">
        <v>20250923</v>
      </c>
      <c r="H535" t="inlineStr">
        <is>
          <t>2025-09-23</t>
        </is>
      </c>
      <c r="I535" t="n">
        <v>20251107</v>
      </c>
      <c r="J535" t="inlineStr">
        <is>
          <t>2025-11-07</t>
        </is>
      </c>
      <c r="K535" s="9" t="n">
        <v>33922.16</v>
      </c>
      <c r="L535" t="inlineStr">
        <is>
          <t>USD</t>
        </is>
      </c>
      <c r="M535" s="4" t="n">
        <v>33922.16</v>
      </c>
      <c r="N535" t="inlineStr">
        <is>
          <t>Paid</t>
        </is>
      </c>
      <c r="O535" t="inlineStr">
        <is>
          <t>False</t>
        </is>
      </c>
      <c r="P535" t="n">
        <v>45</v>
      </c>
      <c r="Q535">
        <f>VLOOKUP(D535,GL_Accounts!$A$2:$E$1048576,5,FALSE)</f>
        <v/>
      </c>
      <c r="R535">
        <f>VLOOKUP(D535,GL_Accounts!$A$2:$E$1048576,4,FALSE)</f>
        <v/>
      </c>
    </row>
    <row r="536">
      <c r="A536" t="inlineStr">
        <is>
          <t>INV200535</t>
        </is>
      </c>
      <c r="B536" t="n">
        <v>60</v>
      </c>
      <c r="C536" t="inlineStr">
        <is>
          <t>V0001</t>
        </is>
      </c>
      <c r="D536" t="n">
        <v>2</v>
      </c>
      <c r="E536" t="n">
        <v>60110</v>
      </c>
      <c r="F536" t="inlineStr">
        <is>
          <t>PO100407</t>
        </is>
      </c>
      <c r="G536" t="n">
        <v>20251212</v>
      </c>
      <c r="H536" t="inlineStr">
        <is>
          <t>2025-12-12</t>
        </is>
      </c>
      <c r="I536" t="n">
        <v>20260126</v>
      </c>
      <c r="J536" t="inlineStr">
        <is>
          <t>2026-01-26</t>
        </is>
      </c>
      <c r="K536" s="9" t="n">
        <v>23644.83</v>
      </c>
      <c r="L536" t="inlineStr">
        <is>
          <t>USD</t>
        </is>
      </c>
      <c r="M536" s="4" t="n">
        <v>23644.83</v>
      </c>
      <c r="N536" t="inlineStr">
        <is>
          <t>Paid</t>
        </is>
      </c>
      <c r="O536" t="inlineStr">
        <is>
          <t>False</t>
        </is>
      </c>
      <c r="P536" t="n">
        <v>45</v>
      </c>
      <c r="Q536">
        <f>VLOOKUP(D536,GL_Accounts!$A$2:$E$1048576,5,FALSE)</f>
        <v/>
      </c>
      <c r="R536">
        <f>VLOOKUP(D536,GL_Accounts!$A$2:$E$1048576,4,FALSE)</f>
        <v/>
      </c>
    </row>
    <row r="537">
      <c r="A537" t="inlineStr">
        <is>
          <t>INV200536</t>
        </is>
      </c>
      <c r="B537" t="n">
        <v>60</v>
      </c>
      <c r="C537" t="inlineStr">
        <is>
          <t>V0001</t>
        </is>
      </c>
      <c r="D537" t="n">
        <v>4</v>
      </c>
      <c r="E537" t="n">
        <v>60200</v>
      </c>
      <c r="F537" t="inlineStr">
        <is>
          <t>PO100407</t>
        </is>
      </c>
      <c r="G537" t="n">
        <v>20260116</v>
      </c>
      <c r="H537" t="inlineStr">
        <is>
          <t>2026-01-16</t>
        </is>
      </c>
      <c r="I537" t="n">
        <v>20260302</v>
      </c>
      <c r="J537" t="inlineStr">
        <is>
          <t>2026-03-02</t>
        </is>
      </c>
      <c r="K537" s="9" t="n">
        <v>6201.8</v>
      </c>
      <c r="L537" t="inlineStr">
        <is>
          <t>USD</t>
        </is>
      </c>
      <c r="M537" s="4" t="n">
        <v>6201.8</v>
      </c>
      <c r="N537" t="inlineStr">
        <is>
          <t>Paid</t>
        </is>
      </c>
      <c r="O537" t="inlineStr">
        <is>
          <t>False</t>
        </is>
      </c>
      <c r="P537" t="n">
        <v>45</v>
      </c>
      <c r="Q537">
        <f>VLOOKUP(D537,GL_Accounts!$A$2:$E$1048576,5,FALSE)</f>
        <v/>
      </c>
      <c r="R537">
        <f>VLOOKUP(D537,GL_Accounts!$A$2:$E$1048576,4,FALSE)</f>
        <v/>
      </c>
    </row>
    <row r="538">
      <c r="A538" t="inlineStr">
        <is>
          <t>INV200537</t>
        </is>
      </c>
      <c r="B538" t="n">
        <v>48</v>
      </c>
      <c r="C538" t="inlineStr">
        <is>
          <t>V0048</t>
        </is>
      </c>
      <c r="D538" t="n">
        <v>4</v>
      </c>
      <c r="E538" t="n">
        <v>60200</v>
      </c>
      <c r="F538" t="inlineStr">
        <is>
          <t>PO100408</t>
        </is>
      </c>
      <c r="G538" t="n">
        <v>20250903</v>
      </c>
      <c r="H538" t="inlineStr">
        <is>
          <t>2025-09-03</t>
        </is>
      </c>
      <c r="I538" t="n">
        <v>20251018</v>
      </c>
      <c r="J538" t="inlineStr">
        <is>
          <t>2025-10-18</t>
        </is>
      </c>
      <c r="K538" s="9" t="n">
        <v>63181.03</v>
      </c>
      <c r="L538" t="inlineStr">
        <is>
          <t>USD</t>
        </is>
      </c>
      <c r="M538" s="4" t="n">
        <v>63181.03</v>
      </c>
      <c r="N538" t="inlineStr">
        <is>
          <t>Paid</t>
        </is>
      </c>
      <c r="O538" t="inlineStr">
        <is>
          <t>False</t>
        </is>
      </c>
      <c r="P538" t="n">
        <v>45</v>
      </c>
      <c r="Q538">
        <f>VLOOKUP(D538,GL_Accounts!$A$2:$E$1048576,5,FALSE)</f>
        <v/>
      </c>
      <c r="R538">
        <f>VLOOKUP(D538,GL_Accounts!$A$2:$E$1048576,4,FALSE)</f>
        <v/>
      </c>
    </row>
    <row r="539">
      <c r="A539" t="inlineStr">
        <is>
          <t>INV200538</t>
        </is>
      </c>
      <c r="B539" t="n">
        <v>31</v>
      </c>
      <c r="C539" t="inlineStr">
        <is>
          <t>V0031</t>
        </is>
      </c>
      <c r="D539" t="n">
        <v>1</v>
      </c>
      <c r="E539" t="n">
        <v>60100</v>
      </c>
      <c r="F539" t="inlineStr">
        <is>
          <t>PO100409</t>
        </is>
      </c>
      <c r="G539" t="n">
        <v>20260324</v>
      </c>
      <c r="H539" t="inlineStr">
        <is>
          <t>2026-03-24</t>
        </is>
      </c>
      <c r="I539" t="n">
        <v>20260423</v>
      </c>
      <c r="J539" t="inlineStr">
        <is>
          <t>2026-04-23</t>
        </is>
      </c>
      <c r="K539" s="9" t="n">
        <v>65397.74</v>
      </c>
      <c r="L539" t="inlineStr">
        <is>
          <t>USD</t>
        </is>
      </c>
      <c r="M539" s="4" t="n">
        <v>65397.74</v>
      </c>
      <c r="N539" t="inlineStr">
        <is>
          <t>Paid</t>
        </is>
      </c>
      <c r="O539" t="inlineStr">
        <is>
          <t>False</t>
        </is>
      </c>
      <c r="P539" t="n">
        <v>30</v>
      </c>
      <c r="Q539">
        <f>VLOOKUP(D539,GL_Accounts!$A$2:$E$1048576,5,FALSE)</f>
        <v/>
      </c>
      <c r="R539">
        <f>VLOOKUP(D539,GL_Accounts!$A$2:$E$1048576,4,FALSE)</f>
        <v/>
      </c>
    </row>
    <row r="540">
      <c r="A540" t="inlineStr">
        <is>
          <t>INV200539</t>
        </is>
      </c>
      <c r="B540" t="n">
        <v>29</v>
      </c>
      <c r="C540" t="inlineStr">
        <is>
          <t>V0029</t>
        </is>
      </c>
      <c r="D540" t="n">
        <v>17</v>
      </c>
      <c r="E540" t="n">
        <v>64100</v>
      </c>
      <c r="F540" t="inlineStr">
        <is>
          <t>PO100410</t>
        </is>
      </c>
      <c r="G540" t="n">
        <v>20250627</v>
      </c>
      <c r="H540" t="inlineStr">
        <is>
          <t>2025-06-27</t>
        </is>
      </c>
      <c r="I540" t="n">
        <v>20250826</v>
      </c>
      <c r="J540" t="inlineStr">
        <is>
          <t>2025-08-26</t>
        </is>
      </c>
      <c r="K540" s="9" t="n">
        <v>10097.41</v>
      </c>
      <c r="L540" t="inlineStr">
        <is>
          <t>USD</t>
        </is>
      </c>
      <c r="M540" s="4" t="n">
        <v>10097.41</v>
      </c>
      <c r="N540" t="inlineStr">
        <is>
          <t>Paid</t>
        </is>
      </c>
      <c r="O540" t="inlineStr">
        <is>
          <t>False</t>
        </is>
      </c>
      <c r="P540" t="n">
        <v>60</v>
      </c>
      <c r="Q540">
        <f>VLOOKUP(D540,GL_Accounts!$A$2:$E$1048576,5,FALSE)</f>
        <v/>
      </c>
      <c r="R540">
        <f>VLOOKUP(D540,GL_Accounts!$A$2:$E$1048576,4,FALSE)</f>
        <v/>
      </c>
    </row>
    <row r="541">
      <c r="A541" t="inlineStr">
        <is>
          <t>INV200540</t>
        </is>
      </c>
      <c r="B541" t="n">
        <v>32</v>
      </c>
      <c r="C541" t="inlineStr">
        <is>
          <t>V0032</t>
        </is>
      </c>
      <c r="D541" t="n">
        <v>7</v>
      </c>
      <c r="E541" t="n">
        <v>61200</v>
      </c>
      <c r="F541" t="inlineStr">
        <is>
          <t>PO100411</t>
        </is>
      </c>
      <c r="G541" t="n">
        <v>20241012</v>
      </c>
      <c r="H541" t="inlineStr">
        <is>
          <t>2024-10-12</t>
        </is>
      </c>
      <c r="I541" t="n">
        <v>20241126</v>
      </c>
      <c r="J541" t="inlineStr">
        <is>
          <t>2024-11-26</t>
        </is>
      </c>
      <c r="K541" s="9" t="n">
        <v>5576.2</v>
      </c>
      <c r="L541" t="inlineStr">
        <is>
          <t>USD</t>
        </is>
      </c>
      <c r="M541" s="4" t="n">
        <v>5576.2</v>
      </c>
      <c r="N541" t="inlineStr">
        <is>
          <t>Paid</t>
        </is>
      </c>
      <c r="O541" t="inlineStr">
        <is>
          <t>False</t>
        </is>
      </c>
      <c r="P541" t="n">
        <v>45</v>
      </c>
      <c r="Q541">
        <f>VLOOKUP(D541,GL_Accounts!$A$2:$E$1048576,5,FALSE)</f>
        <v/>
      </c>
      <c r="R541">
        <f>VLOOKUP(D541,GL_Accounts!$A$2:$E$1048576,4,FALSE)</f>
        <v/>
      </c>
    </row>
    <row r="542">
      <c r="A542" t="inlineStr">
        <is>
          <t>INV200541</t>
        </is>
      </c>
      <c r="B542" t="n">
        <v>9</v>
      </c>
      <c r="C542" t="inlineStr">
        <is>
          <t>V0009</t>
        </is>
      </c>
      <c r="D542" t="n">
        <v>7</v>
      </c>
      <c r="E542" t="n">
        <v>61200</v>
      </c>
      <c r="F542" t="inlineStr">
        <is>
          <t>PO100412</t>
        </is>
      </c>
      <c r="G542" t="n">
        <v>20241024</v>
      </c>
      <c r="H542" t="inlineStr">
        <is>
          <t>2024-10-24</t>
        </is>
      </c>
      <c r="I542" t="n">
        <v>20241108</v>
      </c>
      <c r="J542" t="inlineStr">
        <is>
          <t>2024-11-08</t>
        </is>
      </c>
      <c r="K542" s="9" t="n">
        <v>3016.97</v>
      </c>
      <c r="L542" t="inlineStr">
        <is>
          <t>USD</t>
        </is>
      </c>
      <c r="M542" s="4" t="n">
        <v>3016.97</v>
      </c>
      <c r="N542" t="inlineStr">
        <is>
          <t>Paid</t>
        </is>
      </c>
      <c r="O542" t="inlineStr">
        <is>
          <t>False</t>
        </is>
      </c>
      <c r="P542" t="n">
        <v>15</v>
      </c>
      <c r="Q542">
        <f>VLOOKUP(D542,GL_Accounts!$A$2:$E$1048576,5,FALSE)</f>
        <v/>
      </c>
      <c r="R542">
        <f>VLOOKUP(D542,GL_Accounts!$A$2:$E$1048576,4,FALSE)</f>
        <v/>
      </c>
    </row>
    <row r="543">
      <c r="A543" t="inlineStr">
        <is>
          <t>INV200542</t>
        </is>
      </c>
      <c r="B543" t="n">
        <v>9</v>
      </c>
      <c r="C543" t="inlineStr">
        <is>
          <t>V0009</t>
        </is>
      </c>
      <c r="D543" t="n">
        <v>8</v>
      </c>
      <c r="E543" t="n">
        <v>61300</v>
      </c>
      <c r="F543" t="inlineStr">
        <is>
          <t>PO100412</t>
        </is>
      </c>
      <c r="G543" t="n">
        <v>20241113</v>
      </c>
      <c r="H543" t="inlineStr">
        <is>
          <t>2024-11-13</t>
        </is>
      </c>
      <c r="I543" t="n">
        <v>20241128</v>
      </c>
      <c r="J543" t="inlineStr">
        <is>
          <t>2024-11-28</t>
        </is>
      </c>
      <c r="K543" s="9" t="n">
        <v>220.39</v>
      </c>
      <c r="L543" t="inlineStr">
        <is>
          <t>USD</t>
        </is>
      </c>
      <c r="M543" s="4" t="n">
        <v>220.39</v>
      </c>
      <c r="N543" t="inlineStr">
        <is>
          <t>Paid</t>
        </is>
      </c>
      <c r="O543" t="inlineStr">
        <is>
          <t>False</t>
        </is>
      </c>
      <c r="P543" t="n">
        <v>15</v>
      </c>
      <c r="Q543">
        <f>VLOOKUP(D543,GL_Accounts!$A$2:$E$1048576,5,FALSE)</f>
        <v/>
      </c>
      <c r="R543">
        <f>VLOOKUP(D543,GL_Accounts!$A$2:$E$1048576,4,FALSE)</f>
        <v/>
      </c>
    </row>
    <row r="544">
      <c r="A544" t="inlineStr">
        <is>
          <t>INV200543</t>
        </is>
      </c>
      <c r="B544" t="n">
        <v>9</v>
      </c>
      <c r="C544" t="inlineStr">
        <is>
          <t>V0009</t>
        </is>
      </c>
      <c r="D544" t="n">
        <v>8</v>
      </c>
      <c r="E544" t="n">
        <v>61300</v>
      </c>
      <c r="F544" t="inlineStr">
        <is>
          <t>PO100412</t>
        </is>
      </c>
      <c r="G544" t="n">
        <v>20241207</v>
      </c>
      <c r="H544" t="inlineStr">
        <is>
          <t>2024-12-07</t>
        </is>
      </c>
      <c r="I544" t="n">
        <v>20241222</v>
      </c>
      <c r="J544" t="inlineStr">
        <is>
          <t>2024-12-22</t>
        </is>
      </c>
      <c r="K544" s="9" t="n">
        <v>7168.65</v>
      </c>
      <c r="L544" t="inlineStr">
        <is>
          <t>USD</t>
        </is>
      </c>
      <c r="M544" s="4" t="n">
        <v>7168.65</v>
      </c>
      <c r="N544" t="inlineStr">
        <is>
          <t>Paid</t>
        </is>
      </c>
      <c r="O544" t="inlineStr">
        <is>
          <t>False</t>
        </is>
      </c>
      <c r="P544" t="n">
        <v>15</v>
      </c>
      <c r="Q544">
        <f>VLOOKUP(D544,GL_Accounts!$A$2:$E$1048576,5,FALSE)</f>
        <v/>
      </c>
      <c r="R544">
        <f>VLOOKUP(D544,GL_Accounts!$A$2:$E$1048576,4,FALSE)</f>
        <v/>
      </c>
    </row>
    <row r="545">
      <c r="A545" t="inlineStr">
        <is>
          <t>INV200544</t>
        </is>
      </c>
      <c r="B545" t="n">
        <v>21</v>
      </c>
      <c r="C545" t="inlineStr">
        <is>
          <t>V0021</t>
        </is>
      </c>
      <c r="D545" t="n">
        <v>8</v>
      </c>
      <c r="E545" t="n">
        <v>61300</v>
      </c>
      <c r="F545" t="inlineStr">
        <is>
          <t>PO100414</t>
        </is>
      </c>
      <c r="G545" t="n">
        <v>20260509</v>
      </c>
      <c r="H545" t="inlineStr">
        <is>
          <t>2026-05-09</t>
        </is>
      </c>
      <c r="I545" t="n">
        <v>20260708</v>
      </c>
      <c r="J545" t="inlineStr">
        <is>
          <t>2026-07-08</t>
        </is>
      </c>
      <c r="K545" s="9" t="n">
        <v>9782.93</v>
      </c>
      <c r="L545" t="inlineStr">
        <is>
          <t>USD</t>
        </is>
      </c>
      <c r="M545" s="4" t="n">
        <v>9782.93</v>
      </c>
      <c r="N545" t="inlineStr">
        <is>
          <t>Unpaid</t>
        </is>
      </c>
      <c r="O545" t="inlineStr">
        <is>
          <t>False</t>
        </is>
      </c>
      <c r="P545" t="n">
        <v>60</v>
      </c>
      <c r="Q545">
        <f>VLOOKUP(D545,GL_Accounts!$A$2:$E$1048576,5,FALSE)</f>
        <v/>
      </c>
      <c r="R545">
        <f>VLOOKUP(D545,GL_Accounts!$A$2:$E$1048576,4,FALSE)</f>
        <v/>
      </c>
    </row>
    <row r="546">
      <c r="A546" t="inlineStr">
        <is>
          <t>INV200545</t>
        </is>
      </c>
      <c r="B546" t="n">
        <v>21</v>
      </c>
      <c r="C546" t="inlineStr">
        <is>
          <t>V0021</t>
        </is>
      </c>
      <c r="D546" t="n">
        <v>8</v>
      </c>
      <c r="E546" t="n">
        <v>61300</v>
      </c>
      <c r="F546" t="inlineStr">
        <is>
          <t>PO100414</t>
        </is>
      </c>
      <c r="G546" t="n">
        <v>20260604</v>
      </c>
      <c r="H546" t="inlineStr">
        <is>
          <t>2026-06-04</t>
        </is>
      </c>
      <c r="I546" t="n">
        <v>20260803</v>
      </c>
      <c r="J546" t="inlineStr">
        <is>
          <t>2026-08-03</t>
        </is>
      </c>
      <c r="K546" s="9" t="n">
        <v>7319.07</v>
      </c>
      <c r="L546" t="inlineStr">
        <is>
          <t>USD</t>
        </is>
      </c>
      <c r="M546" s="4" t="n">
        <v>7319.07</v>
      </c>
      <c r="N546" t="inlineStr">
        <is>
          <t>Unpaid</t>
        </is>
      </c>
      <c r="O546" t="inlineStr">
        <is>
          <t>False</t>
        </is>
      </c>
      <c r="P546" t="n">
        <v>60</v>
      </c>
      <c r="Q546">
        <f>VLOOKUP(D546,GL_Accounts!$A$2:$E$1048576,5,FALSE)</f>
        <v/>
      </c>
      <c r="R546">
        <f>VLOOKUP(D546,GL_Accounts!$A$2:$E$1048576,4,FALSE)</f>
        <v/>
      </c>
    </row>
    <row r="547">
      <c r="A547" t="inlineStr">
        <is>
          <t>INV200546</t>
        </is>
      </c>
      <c r="B547" t="n">
        <v>23</v>
      </c>
      <c r="C547" t="inlineStr">
        <is>
          <t>V0023</t>
        </is>
      </c>
      <c r="D547" t="n">
        <v>3</v>
      </c>
      <c r="E547" t="n">
        <v>60120</v>
      </c>
      <c r="F547" t="inlineStr">
        <is>
          <t>PO100415</t>
        </is>
      </c>
      <c r="G547" t="n">
        <v>20250208</v>
      </c>
      <c r="H547" t="inlineStr">
        <is>
          <t>2025-02-08</t>
        </is>
      </c>
      <c r="I547" t="n">
        <v>20250325</v>
      </c>
      <c r="J547" t="inlineStr">
        <is>
          <t>2025-03-25</t>
        </is>
      </c>
      <c r="K547" s="9" t="n">
        <v>28797.55</v>
      </c>
      <c r="L547" t="inlineStr">
        <is>
          <t>USD</t>
        </is>
      </c>
      <c r="M547" s="4" t="n">
        <v>28797.55</v>
      </c>
      <c r="N547" t="inlineStr">
        <is>
          <t>Paid</t>
        </is>
      </c>
      <c r="O547" t="inlineStr">
        <is>
          <t>False</t>
        </is>
      </c>
      <c r="P547" t="n">
        <v>45</v>
      </c>
      <c r="Q547">
        <f>VLOOKUP(D547,GL_Accounts!$A$2:$E$1048576,5,FALSE)</f>
        <v/>
      </c>
      <c r="R547">
        <f>VLOOKUP(D547,GL_Accounts!$A$2:$E$1048576,4,FALSE)</f>
        <v/>
      </c>
    </row>
    <row r="548">
      <c r="A548" t="inlineStr">
        <is>
          <t>INV200547</t>
        </is>
      </c>
      <c r="B548" t="n">
        <v>23</v>
      </c>
      <c r="C548" t="inlineStr">
        <is>
          <t>V0023</t>
        </is>
      </c>
      <c r="D548" t="n">
        <v>1</v>
      </c>
      <c r="E548" t="n">
        <v>60100</v>
      </c>
      <c r="F548" t="inlineStr">
        <is>
          <t>PO100415</t>
        </is>
      </c>
      <c r="G548" t="n">
        <v>20250322</v>
      </c>
      <c r="H548" t="inlineStr">
        <is>
          <t>2025-03-22</t>
        </is>
      </c>
      <c r="I548" t="n">
        <v>20250506</v>
      </c>
      <c r="J548" t="inlineStr">
        <is>
          <t>2025-05-06</t>
        </is>
      </c>
      <c r="K548" s="9" t="n">
        <v>3841.39</v>
      </c>
      <c r="L548" t="inlineStr">
        <is>
          <t>USD</t>
        </is>
      </c>
      <c r="M548" s="4" t="n">
        <v>3841.39</v>
      </c>
      <c r="N548" t="inlineStr">
        <is>
          <t>Paid</t>
        </is>
      </c>
      <c r="O548" t="inlineStr">
        <is>
          <t>False</t>
        </is>
      </c>
      <c r="P548" t="n">
        <v>45</v>
      </c>
      <c r="Q548">
        <f>VLOOKUP(D548,GL_Accounts!$A$2:$E$1048576,5,FALSE)</f>
        <v/>
      </c>
      <c r="R548">
        <f>VLOOKUP(D548,GL_Accounts!$A$2:$E$1048576,4,FALSE)</f>
        <v/>
      </c>
    </row>
    <row r="549">
      <c r="A549" t="inlineStr">
        <is>
          <t>INV200548</t>
        </is>
      </c>
      <c r="B549" t="n">
        <v>23</v>
      </c>
      <c r="C549" t="inlineStr">
        <is>
          <t>V0023</t>
        </is>
      </c>
      <c r="D549" t="n">
        <v>2</v>
      </c>
      <c r="E549" t="n">
        <v>60110</v>
      </c>
      <c r="F549" t="inlineStr">
        <is>
          <t>PO100415</t>
        </is>
      </c>
      <c r="G549" t="n">
        <v>20250511</v>
      </c>
      <c r="H549" t="inlineStr">
        <is>
          <t>2025-05-11</t>
        </is>
      </c>
      <c r="I549" t="n">
        <v>20250625</v>
      </c>
      <c r="J549" t="inlineStr">
        <is>
          <t>2025-06-25</t>
        </is>
      </c>
      <c r="K549" s="9" t="n">
        <v>29636.38</v>
      </c>
      <c r="L549" t="inlineStr">
        <is>
          <t>USD</t>
        </is>
      </c>
      <c r="M549" s="4" t="n">
        <v>29636.38</v>
      </c>
      <c r="N549" t="inlineStr">
        <is>
          <t>Paid</t>
        </is>
      </c>
      <c r="O549" t="inlineStr">
        <is>
          <t>False</t>
        </is>
      </c>
      <c r="P549" t="n">
        <v>45</v>
      </c>
      <c r="Q549">
        <f>VLOOKUP(D549,GL_Accounts!$A$2:$E$1048576,5,FALSE)</f>
        <v/>
      </c>
      <c r="R549">
        <f>VLOOKUP(D549,GL_Accounts!$A$2:$E$1048576,4,FALSE)</f>
        <v/>
      </c>
    </row>
    <row r="550">
      <c r="A550" t="inlineStr">
        <is>
          <t>INV200549</t>
        </is>
      </c>
      <c r="B550" t="n">
        <v>41</v>
      </c>
      <c r="C550" t="inlineStr">
        <is>
          <t>V0041</t>
        </is>
      </c>
      <c r="D550" t="n">
        <v>1</v>
      </c>
      <c r="E550" t="n">
        <v>60100</v>
      </c>
      <c r="F550" t="inlineStr">
        <is>
          <t>PO100417</t>
        </is>
      </c>
      <c r="G550" t="n">
        <v>20250516</v>
      </c>
      <c r="H550" t="inlineStr">
        <is>
          <t>2025-05-16</t>
        </is>
      </c>
      <c r="I550" t="n">
        <v>20250615</v>
      </c>
      <c r="J550" t="inlineStr">
        <is>
          <t>2025-06-15</t>
        </is>
      </c>
      <c r="K550" s="9" t="n">
        <v>34101.31</v>
      </c>
      <c r="L550" t="inlineStr">
        <is>
          <t>USD</t>
        </is>
      </c>
      <c r="M550" s="4" t="n">
        <v>34101.31</v>
      </c>
      <c r="N550" t="inlineStr">
        <is>
          <t>Paid</t>
        </is>
      </c>
      <c r="O550" t="inlineStr">
        <is>
          <t>False</t>
        </is>
      </c>
      <c r="P550" t="n">
        <v>30</v>
      </c>
      <c r="Q550">
        <f>VLOOKUP(D550,GL_Accounts!$A$2:$E$1048576,5,FALSE)</f>
        <v/>
      </c>
      <c r="R550">
        <f>VLOOKUP(D550,GL_Accounts!$A$2:$E$1048576,4,FALSE)</f>
        <v/>
      </c>
    </row>
    <row r="551">
      <c r="A551" t="inlineStr">
        <is>
          <t>INV200550</t>
        </is>
      </c>
      <c r="B551" t="n">
        <v>41</v>
      </c>
      <c r="C551" t="inlineStr">
        <is>
          <t>V0041</t>
        </is>
      </c>
      <c r="D551" t="n">
        <v>1</v>
      </c>
      <c r="E551" t="n">
        <v>60100</v>
      </c>
      <c r="F551" t="inlineStr">
        <is>
          <t>PO100417</t>
        </is>
      </c>
      <c r="G551" t="n">
        <v>20250609</v>
      </c>
      <c r="H551" t="inlineStr">
        <is>
          <t>2025-06-09</t>
        </is>
      </c>
      <c r="I551" t="n">
        <v>20250709</v>
      </c>
      <c r="J551" t="inlineStr">
        <is>
          <t>2025-07-09</t>
        </is>
      </c>
      <c r="K551" s="9" t="n">
        <v>36061.98</v>
      </c>
      <c r="L551" t="inlineStr">
        <is>
          <t>USD</t>
        </is>
      </c>
      <c r="M551" s="4" t="n">
        <v>36061.98</v>
      </c>
      <c r="N551" t="inlineStr">
        <is>
          <t>Paid</t>
        </is>
      </c>
      <c r="O551" t="inlineStr">
        <is>
          <t>False</t>
        </is>
      </c>
      <c r="P551" t="n">
        <v>30</v>
      </c>
      <c r="Q551">
        <f>VLOOKUP(D551,GL_Accounts!$A$2:$E$1048576,5,FALSE)</f>
        <v/>
      </c>
      <c r="R551">
        <f>VLOOKUP(D551,GL_Accounts!$A$2:$E$1048576,4,FALSE)</f>
        <v/>
      </c>
    </row>
    <row r="552">
      <c r="A552" t="inlineStr">
        <is>
          <t>INV200551</t>
        </is>
      </c>
      <c r="B552" t="n">
        <v>49</v>
      </c>
      <c r="C552" t="inlineStr">
        <is>
          <t>V0049</t>
        </is>
      </c>
      <c r="D552" t="n">
        <v>7</v>
      </c>
      <c r="E552" t="n">
        <v>61200</v>
      </c>
      <c r="F552" t="inlineStr">
        <is>
          <t>PO100418</t>
        </is>
      </c>
      <c r="G552" t="n">
        <v>20260627</v>
      </c>
      <c r="H552" t="inlineStr">
        <is>
          <t>2026-06-27</t>
        </is>
      </c>
      <c r="I552" t="n">
        <v>20260727</v>
      </c>
      <c r="J552" t="inlineStr">
        <is>
          <t>2026-07-27</t>
        </is>
      </c>
      <c r="K552" s="9" t="n">
        <v>7178.72</v>
      </c>
      <c r="L552" t="inlineStr">
        <is>
          <t>USD</t>
        </is>
      </c>
      <c r="M552" s="4" t="n">
        <v>7178.72</v>
      </c>
      <c r="N552" t="inlineStr">
        <is>
          <t>Unpaid</t>
        </is>
      </c>
      <c r="O552" t="inlineStr">
        <is>
          <t>False</t>
        </is>
      </c>
      <c r="P552" t="n">
        <v>30</v>
      </c>
      <c r="Q552">
        <f>VLOOKUP(D552,GL_Accounts!$A$2:$E$1048576,5,FALSE)</f>
        <v/>
      </c>
      <c r="R552">
        <f>VLOOKUP(D552,GL_Accounts!$A$2:$E$1048576,4,FALSE)</f>
        <v/>
      </c>
    </row>
    <row r="553">
      <c r="A553" t="inlineStr">
        <is>
          <t>INV200552</t>
        </is>
      </c>
      <c r="B553" t="n">
        <v>47</v>
      </c>
      <c r="C553" t="inlineStr">
        <is>
          <t>V0047</t>
        </is>
      </c>
      <c r="D553" t="n">
        <v>20</v>
      </c>
      <c r="E553" t="n">
        <v>65100</v>
      </c>
      <c r="F553" t="inlineStr">
        <is>
          <t>PO100419</t>
        </is>
      </c>
      <c r="G553" t="n">
        <v>20250602</v>
      </c>
      <c r="H553" t="inlineStr">
        <is>
          <t>2025-06-02</t>
        </is>
      </c>
      <c r="I553" t="n">
        <v>20250702</v>
      </c>
      <c r="J553" t="inlineStr">
        <is>
          <t>2025-07-02</t>
        </is>
      </c>
      <c r="K553" s="9" t="n">
        <v>1082.2</v>
      </c>
      <c r="L553" t="inlineStr">
        <is>
          <t>USD</t>
        </is>
      </c>
      <c r="M553" s="4" t="n">
        <v>1082.2</v>
      </c>
      <c r="N553" t="inlineStr">
        <is>
          <t>Paid</t>
        </is>
      </c>
      <c r="O553" t="inlineStr">
        <is>
          <t>False</t>
        </is>
      </c>
      <c r="P553" t="n">
        <v>30</v>
      </c>
      <c r="Q553">
        <f>VLOOKUP(D553,GL_Accounts!$A$2:$E$1048576,5,FALSE)</f>
        <v/>
      </c>
      <c r="R553">
        <f>VLOOKUP(D553,GL_Accounts!$A$2:$E$1048576,4,FALSE)</f>
        <v/>
      </c>
    </row>
    <row r="554">
      <c r="A554" t="inlineStr">
        <is>
          <t>INV200553</t>
        </is>
      </c>
      <c r="B554" t="n">
        <v>9</v>
      </c>
      <c r="C554" t="inlineStr">
        <is>
          <t>V0009</t>
        </is>
      </c>
      <c r="D554" t="n">
        <v>6</v>
      </c>
      <c r="E554" t="n">
        <v>61100</v>
      </c>
      <c r="F554" t="inlineStr">
        <is>
          <t>PO100421</t>
        </is>
      </c>
      <c r="G554" t="n">
        <v>20250813</v>
      </c>
      <c r="H554" t="inlineStr">
        <is>
          <t>2025-08-13</t>
        </is>
      </c>
      <c r="I554" t="n">
        <v>20250828</v>
      </c>
      <c r="J554" t="inlineStr">
        <is>
          <t>2025-08-28</t>
        </is>
      </c>
      <c r="K554" s="9" t="n">
        <v>11757.5</v>
      </c>
      <c r="L554" t="inlineStr">
        <is>
          <t>USD</t>
        </is>
      </c>
      <c r="M554" s="4" t="n">
        <v>11757.5</v>
      </c>
      <c r="N554" t="inlineStr">
        <is>
          <t>Paid</t>
        </is>
      </c>
      <c r="O554" t="inlineStr">
        <is>
          <t>False</t>
        </is>
      </c>
      <c r="P554" t="n">
        <v>15</v>
      </c>
      <c r="Q554">
        <f>VLOOKUP(D554,GL_Accounts!$A$2:$E$1048576,5,FALSE)</f>
        <v/>
      </c>
      <c r="R554">
        <f>VLOOKUP(D554,GL_Accounts!$A$2:$E$1048576,4,FALSE)</f>
        <v/>
      </c>
    </row>
    <row r="555">
      <c r="A555" t="inlineStr">
        <is>
          <t>INV200554</t>
        </is>
      </c>
      <c r="B555" t="n">
        <v>49</v>
      </c>
      <c r="C555" t="inlineStr">
        <is>
          <t>V0049</t>
        </is>
      </c>
      <c r="D555" t="n">
        <v>9</v>
      </c>
      <c r="E555" t="n">
        <v>61400</v>
      </c>
      <c r="F555" t="inlineStr">
        <is>
          <t>PO100422</t>
        </is>
      </c>
      <c r="G555" t="n">
        <v>20250415</v>
      </c>
      <c r="H555" t="inlineStr">
        <is>
          <t>2025-04-15</t>
        </is>
      </c>
      <c r="I555" t="n">
        <v>20250515</v>
      </c>
      <c r="J555" t="inlineStr">
        <is>
          <t>2025-05-15</t>
        </is>
      </c>
      <c r="K555" s="9" t="n">
        <v>3541.44</v>
      </c>
      <c r="L555" t="inlineStr">
        <is>
          <t>USD</t>
        </is>
      </c>
      <c r="M555" s="4" t="n">
        <v>3541.44</v>
      </c>
      <c r="N555" t="inlineStr">
        <is>
          <t>Paid</t>
        </is>
      </c>
      <c r="O555" t="inlineStr">
        <is>
          <t>False</t>
        </is>
      </c>
      <c r="P555" t="n">
        <v>30</v>
      </c>
      <c r="Q555">
        <f>VLOOKUP(D555,GL_Accounts!$A$2:$E$1048576,5,FALSE)</f>
        <v/>
      </c>
      <c r="R555">
        <f>VLOOKUP(D555,GL_Accounts!$A$2:$E$1048576,4,FALSE)</f>
        <v/>
      </c>
    </row>
    <row r="556">
      <c r="A556" t="inlineStr">
        <is>
          <t>INV200555</t>
        </is>
      </c>
      <c r="B556" t="n">
        <v>7</v>
      </c>
      <c r="C556" t="inlineStr">
        <is>
          <t>V0007</t>
        </is>
      </c>
      <c r="D556" t="n">
        <v>6</v>
      </c>
      <c r="E556" t="n">
        <v>61100</v>
      </c>
      <c r="F556" t="inlineStr">
        <is>
          <t>PO100423</t>
        </is>
      </c>
      <c r="G556" t="n">
        <v>20250324</v>
      </c>
      <c r="H556" t="inlineStr">
        <is>
          <t>2025-03-24</t>
        </is>
      </c>
      <c r="I556" t="n">
        <v>20250508</v>
      </c>
      <c r="J556" t="inlineStr">
        <is>
          <t>2025-05-08</t>
        </is>
      </c>
      <c r="K556" s="9" t="n">
        <v>2914.77</v>
      </c>
      <c r="L556" t="inlineStr">
        <is>
          <t>USD</t>
        </is>
      </c>
      <c r="M556" s="4" t="n">
        <v>2914.77</v>
      </c>
      <c r="N556" t="inlineStr">
        <is>
          <t>Paid</t>
        </is>
      </c>
      <c r="O556" t="inlineStr">
        <is>
          <t>False</t>
        </is>
      </c>
      <c r="P556" t="n">
        <v>45</v>
      </c>
      <c r="Q556">
        <f>VLOOKUP(D556,GL_Accounts!$A$2:$E$1048576,5,FALSE)</f>
        <v/>
      </c>
      <c r="R556">
        <f>VLOOKUP(D556,GL_Accounts!$A$2:$E$1048576,4,FALSE)</f>
        <v/>
      </c>
    </row>
    <row r="557">
      <c r="A557" t="inlineStr">
        <is>
          <t>INV200556</t>
        </is>
      </c>
      <c r="B557" t="n">
        <v>28</v>
      </c>
      <c r="C557" t="inlineStr">
        <is>
          <t>V0028</t>
        </is>
      </c>
      <c r="D557" t="n">
        <v>16</v>
      </c>
      <c r="E557" t="n">
        <v>63300</v>
      </c>
      <c r="F557" t="inlineStr">
        <is>
          <t>PO100424</t>
        </is>
      </c>
      <c r="G557" t="n">
        <v>20250816</v>
      </c>
      <c r="H557" t="inlineStr">
        <is>
          <t>2025-08-16</t>
        </is>
      </c>
      <c r="I557" t="n">
        <v>20251015</v>
      </c>
      <c r="J557" t="inlineStr">
        <is>
          <t>2025-10-15</t>
        </is>
      </c>
      <c r="K557" s="9" t="n">
        <v>9111.959999999999</v>
      </c>
      <c r="L557" t="inlineStr">
        <is>
          <t>USD</t>
        </is>
      </c>
      <c r="M557" s="4" t="n">
        <v>9111.959999999999</v>
      </c>
      <c r="N557" t="inlineStr">
        <is>
          <t>Paid</t>
        </is>
      </c>
      <c r="O557" t="inlineStr">
        <is>
          <t>False</t>
        </is>
      </c>
      <c r="P557" t="n">
        <v>60</v>
      </c>
      <c r="Q557">
        <f>VLOOKUP(D557,GL_Accounts!$A$2:$E$1048576,5,FALSE)</f>
        <v/>
      </c>
      <c r="R557">
        <f>VLOOKUP(D557,GL_Accounts!$A$2:$E$1048576,4,FALSE)</f>
        <v/>
      </c>
    </row>
    <row r="558">
      <c r="A558" t="inlineStr">
        <is>
          <t>INV200557</t>
        </is>
      </c>
      <c r="B558" t="n">
        <v>16</v>
      </c>
      <c r="C558" t="inlineStr">
        <is>
          <t>V0016</t>
        </is>
      </c>
      <c r="D558" t="n">
        <v>17</v>
      </c>
      <c r="E558" t="n">
        <v>64100</v>
      </c>
      <c r="F558" t="inlineStr">
        <is>
          <t>PO100425</t>
        </is>
      </c>
      <c r="G558" t="n">
        <v>20250628</v>
      </c>
      <c r="H558" t="inlineStr">
        <is>
          <t>2025-06-28</t>
        </is>
      </c>
      <c r="I558" t="n">
        <v>20250728</v>
      </c>
      <c r="J558" t="inlineStr">
        <is>
          <t>2025-07-28</t>
        </is>
      </c>
      <c r="K558" s="9" t="n">
        <v>14842.53</v>
      </c>
      <c r="L558" t="inlineStr">
        <is>
          <t>USD</t>
        </is>
      </c>
      <c r="M558" s="4" t="n">
        <v>14842.53</v>
      </c>
      <c r="N558" t="inlineStr">
        <is>
          <t>Paid</t>
        </is>
      </c>
      <c r="O558" t="inlineStr">
        <is>
          <t>False</t>
        </is>
      </c>
      <c r="P558" t="n">
        <v>30</v>
      </c>
      <c r="Q558">
        <f>VLOOKUP(D558,GL_Accounts!$A$2:$E$1048576,5,FALSE)</f>
        <v/>
      </c>
      <c r="R558">
        <f>VLOOKUP(D558,GL_Accounts!$A$2:$E$1048576,4,FALSE)</f>
        <v/>
      </c>
    </row>
    <row r="559">
      <c r="A559" t="inlineStr">
        <is>
          <t>INV200558</t>
        </is>
      </c>
      <c r="B559" t="n">
        <v>16</v>
      </c>
      <c r="C559" t="inlineStr">
        <is>
          <t>V0016</t>
        </is>
      </c>
      <c r="D559" t="n">
        <v>16</v>
      </c>
      <c r="E559" t="n">
        <v>63300</v>
      </c>
      <c r="F559" t="inlineStr">
        <is>
          <t>PO100425</t>
        </is>
      </c>
      <c r="G559" t="n">
        <v>20250711</v>
      </c>
      <c r="H559" t="inlineStr">
        <is>
          <t>2025-07-11</t>
        </is>
      </c>
      <c r="I559" t="n">
        <v>20250810</v>
      </c>
      <c r="J559" t="inlineStr">
        <is>
          <t>2025-08-10</t>
        </is>
      </c>
      <c r="K559" s="9" t="n">
        <v>7301.2</v>
      </c>
      <c r="L559" t="inlineStr">
        <is>
          <t>USD</t>
        </is>
      </c>
      <c r="M559" s="4" t="n">
        <v>7301.2</v>
      </c>
      <c r="N559" t="inlineStr">
        <is>
          <t>Paid</t>
        </is>
      </c>
      <c r="O559" t="inlineStr">
        <is>
          <t>False</t>
        </is>
      </c>
      <c r="P559" t="n">
        <v>30</v>
      </c>
      <c r="Q559">
        <f>VLOOKUP(D559,GL_Accounts!$A$2:$E$1048576,5,FALSE)</f>
        <v/>
      </c>
      <c r="R559">
        <f>VLOOKUP(D559,GL_Accounts!$A$2:$E$1048576,4,FALSE)</f>
        <v/>
      </c>
    </row>
    <row r="560">
      <c r="A560" t="inlineStr">
        <is>
          <t>INV200559</t>
        </is>
      </c>
      <c r="B560" t="n">
        <v>16</v>
      </c>
      <c r="C560" t="inlineStr">
        <is>
          <t>V0016</t>
        </is>
      </c>
      <c r="D560" t="n">
        <v>18</v>
      </c>
      <c r="E560" t="n">
        <v>64200</v>
      </c>
      <c r="F560" t="inlineStr">
        <is>
          <t>PO100425</t>
        </is>
      </c>
      <c r="G560" t="n">
        <v>20250809</v>
      </c>
      <c r="H560" t="inlineStr">
        <is>
          <t>2025-08-09</t>
        </is>
      </c>
      <c r="I560" t="n">
        <v>20250908</v>
      </c>
      <c r="J560" t="inlineStr">
        <is>
          <t>2025-09-08</t>
        </is>
      </c>
      <c r="K560" s="9" t="n">
        <v>25197.39</v>
      </c>
      <c r="L560" t="inlineStr">
        <is>
          <t>USD</t>
        </is>
      </c>
      <c r="M560" s="4" t="n">
        <v>25197.39</v>
      </c>
      <c r="N560" t="inlineStr">
        <is>
          <t>Paid</t>
        </is>
      </c>
      <c r="O560" t="inlineStr">
        <is>
          <t>False</t>
        </is>
      </c>
      <c r="P560" t="n">
        <v>30</v>
      </c>
      <c r="Q560">
        <f>VLOOKUP(D560,GL_Accounts!$A$2:$E$1048576,5,FALSE)</f>
        <v/>
      </c>
      <c r="R560">
        <f>VLOOKUP(D560,GL_Accounts!$A$2:$E$1048576,4,FALSE)</f>
        <v/>
      </c>
    </row>
    <row r="561">
      <c r="A561" t="inlineStr">
        <is>
          <t>INV200560</t>
        </is>
      </c>
      <c r="B561" t="n">
        <v>47</v>
      </c>
      <c r="C561" t="inlineStr">
        <is>
          <t>V0047</t>
        </is>
      </c>
      <c r="D561" t="n">
        <v>14</v>
      </c>
      <c r="E561" t="n">
        <v>63100</v>
      </c>
      <c r="F561" t="inlineStr">
        <is>
          <t>PO100426</t>
        </is>
      </c>
      <c r="G561" t="n">
        <v>20260405</v>
      </c>
      <c r="H561" t="inlineStr">
        <is>
          <t>2026-04-05</t>
        </is>
      </c>
      <c r="I561" t="n">
        <v>20260505</v>
      </c>
      <c r="J561" t="inlineStr">
        <is>
          <t>2026-05-05</t>
        </is>
      </c>
      <c r="K561" s="9" t="n">
        <v>827.8</v>
      </c>
      <c r="L561" t="inlineStr">
        <is>
          <t>USD</t>
        </is>
      </c>
      <c r="M561" s="4" t="n">
        <v>827.8</v>
      </c>
      <c r="N561" t="inlineStr">
        <is>
          <t>Paid</t>
        </is>
      </c>
      <c r="O561" t="inlineStr">
        <is>
          <t>False</t>
        </is>
      </c>
      <c r="P561" t="n">
        <v>30</v>
      </c>
      <c r="Q561">
        <f>VLOOKUP(D561,GL_Accounts!$A$2:$E$1048576,5,FALSE)</f>
        <v/>
      </c>
      <c r="R561">
        <f>VLOOKUP(D561,GL_Accounts!$A$2:$E$1048576,4,FALSE)</f>
        <v/>
      </c>
    </row>
    <row r="562">
      <c r="A562" t="inlineStr">
        <is>
          <t>INV200561</t>
        </is>
      </c>
      <c r="B562" t="n">
        <v>42</v>
      </c>
      <c r="C562" t="inlineStr">
        <is>
          <t>V0042</t>
        </is>
      </c>
      <c r="D562" t="n">
        <v>18</v>
      </c>
      <c r="E562" t="n">
        <v>64200</v>
      </c>
      <c r="F562" t="inlineStr">
        <is>
          <t>PO100427</t>
        </is>
      </c>
      <c r="G562" t="n">
        <v>20241120</v>
      </c>
      <c r="H562" t="inlineStr">
        <is>
          <t>2024-11-20</t>
        </is>
      </c>
      <c r="I562" t="n">
        <v>20250104</v>
      </c>
      <c r="J562" t="inlineStr">
        <is>
          <t>2025-01-04</t>
        </is>
      </c>
      <c r="K562" s="9" t="n">
        <v>37390.66</v>
      </c>
      <c r="L562" t="inlineStr">
        <is>
          <t>USD</t>
        </is>
      </c>
      <c r="M562" s="4" t="n">
        <v>37390.66</v>
      </c>
      <c r="N562" t="inlineStr">
        <is>
          <t>Paid</t>
        </is>
      </c>
      <c r="O562" t="inlineStr">
        <is>
          <t>False</t>
        </is>
      </c>
      <c r="P562" t="n">
        <v>45</v>
      </c>
      <c r="Q562">
        <f>VLOOKUP(D562,GL_Accounts!$A$2:$E$1048576,5,FALSE)</f>
        <v/>
      </c>
      <c r="R562">
        <f>VLOOKUP(D562,GL_Accounts!$A$2:$E$1048576,4,FALSE)</f>
        <v/>
      </c>
    </row>
    <row r="563">
      <c r="A563" t="inlineStr">
        <is>
          <t>INV200562</t>
        </is>
      </c>
      <c r="B563" t="n">
        <v>27</v>
      </c>
      <c r="C563" t="inlineStr">
        <is>
          <t>V0027</t>
        </is>
      </c>
      <c r="D563" t="n">
        <v>8</v>
      </c>
      <c r="E563" t="n">
        <v>61300</v>
      </c>
      <c r="F563" t="inlineStr">
        <is>
          <t>PO100428</t>
        </is>
      </c>
      <c r="G563" t="n">
        <v>20250415</v>
      </c>
      <c r="H563" t="inlineStr">
        <is>
          <t>2025-04-15</t>
        </is>
      </c>
      <c r="I563" t="n">
        <v>20250515</v>
      </c>
      <c r="J563" t="inlineStr">
        <is>
          <t>2025-05-15</t>
        </is>
      </c>
      <c r="K563" s="9" t="n">
        <v>2448.66</v>
      </c>
      <c r="L563" t="inlineStr">
        <is>
          <t>USD</t>
        </is>
      </c>
      <c r="M563" s="4" t="n">
        <v>2448.66</v>
      </c>
      <c r="N563" t="inlineStr">
        <is>
          <t>Paid</t>
        </is>
      </c>
      <c r="O563" t="inlineStr">
        <is>
          <t>False</t>
        </is>
      </c>
      <c r="P563" t="n">
        <v>30</v>
      </c>
      <c r="Q563">
        <f>VLOOKUP(D563,GL_Accounts!$A$2:$E$1048576,5,FALSE)</f>
        <v/>
      </c>
      <c r="R563">
        <f>VLOOKUP(D563,GL_Accounts!$A$2:$E$1048576,4,FALSE)</f>
        <v/>
      </c>
    </row>
    <row r="564">
      <c r="A564" t="inlineStr">
        <is>
          <t>INV200563</t>
        </is>
      </c>
      <c r="B564" t="n">
        <v>27</v>
      </c>
      <c r="C564" t="inlineStr">
        <is>
          <t>V0027</t>
        </is>
      </c>
      <c r="D564" t="n">
        <v>9</v>
      </c>
      <c r="E564" t="n">
        <v>61400</v>
      </c>
      <c r="F564" t="inlineStr">
        <is>
          <t>PO100428</t>
        </is>
      </c>
      <c r="G564" t="n">
        <v>20250422</v>
      </c>
      <c r="H564" t="inlineStr">
        <is>
          <t>2025-04-22</t>
        </is>
      </c>
      <c r="I564" t="n">
        <v>20250522</v>
      </c>
      <c r="J564" t="inlineStr">
        <is>
          <t>2025-05-22</t>
        </is>
      </c>
      <c r="K564" s="9" t="n">
        <v>5081.78</v>
      </c>
      <c r="L564" t="inlineStr">
        <is>
          <t>USD</t>
        </is>
      </c>
      <c r="M564" s="4" t="n">
        <v>5081.78</v>
      </c>
      <c r="N564" t="inlineStr">
        <is>
          <t>Paid</t>
        </is>
      </c>
      <c r="O564" t="inlineStr">
        <is>
          <t>False</t>
        </is>
      </c>
      <c r="P564" t="n">
        <v>30</v>
      </c>
      <c r="Q564">
        <f>VLOOKUP(D564,GL_Accounts!$A$2:$E$1048576,5,FALSE)</f>
        <v/>
      </c>
      <c r="R564">
        <f>VLOOKUP(D564,GL_Accounts!$A$2:$E$1048576,4,FALSE)</f>
        <v/>
      </c>
    </row>
    <row r="565">
      <c r="A565" t="inlineStr">
        <is>
          <t>INV200564</t>
        </is>
      </c>
      <c r="B565" t="n">
        <v>50</v>
      </c>
      <c r="C565" t="inlineStr">
        <is>
          <t>V0050</t>
        </is>
      </c>
      <c r="D565" t="n">
        <v>4</v>
      </c>
      <c r="E565" t="n">
        <v>60200</v>
      </c>
      <c r="F565" t="inlineStr">
        <is>
          <t>PO100429</t>
        </is>
      </c>
      <c r="G565" t="n">
        <v>20251012</v>
      </c>
      <c r="H565" t="inlineStr">
        <is>
          <t>2025-10-12</t>
        </is>
      </c>
      <c r="I565" t="n">
        <v>20251111</v>
      </c>
      <c r="J565" t="inlineStr">
        <is>
          <t>2025-11-11</t>
        </is>
      </c>
      <c r="K565" s="9" t="n">
        <v>10772.46</v>
      </c>
      <c r="L565" t="inlineStr">
        <is>
          <t>USD</t>
        </is>
      </c>
      <c r="M565" s="4" t="n">
        <v>10772.46</v>
      </c>
      <c r="N565" t="inlineStr">
        <is>
          <t>Paid</t>
        </is>
      </c>
      <c r="O565" t="inlineStr">
        <is>
          <t>False</t>
        </is>
      </c>
      <c r="P565" t="n">
        <v>30</v>
      </c>
      <c r="Q565">
        <f>VLOOKUP(D565,GL_Accounts!$A$2:$E$1048576,5,FALSE)</f>
        <v/>
      </c>
      <c r="R565">
        <f>VLOOKUP(D565,GL_Accounts!$A$2:$E$1048576,4,FALSE)</f>
        <v/>
      </c>
    </row>
    <row r="566">
      <c r="A566" t="inlineStr">
        <is>
          <t>INV200565</t>
        </is>
      </c>
      <c r="B566" t="n">
        <v>20</v>
      </c>
      <c r="C566" t="inlineStr">
        <is>
          <t>V0020</t>
        </is>
      </c>
      <c r="D566" t="n">
        <v>9</v>
      </c>
      <c r="E566" t="n">
        <v>61400</v>
      </c>
      <c r="F566" t="inlineStr">
        <is>
          <t>PO100431</t>
        </is>
      </c>
      <c r="G566" t="n">
        <v>20250730</v>
      </c>
      <c r="H566" t="inlineStr">
        <is>
          <t>2025-07-30</t>
        </is>
      </c>
      <c r="I566" t="n">
        <v>20250814</v>
      </c>
      <c r="J566" t="inlineStr">
        <is>
          <t>2025-08-14</t>
        </is>
      </c>
      <c r="K566" s="9" t="n">
        <v>24088.59</v>
      </c>
      <c r="L566" t="inlineStr">
        <is>
          <t>USD</t>
        </is>
      </c>
      <c r="M566" s="4" t="n">
        <v>24088.59</v>
      </c>
      <c r="N566" t="inlineStr">
        <is>
          <t>Paid</t>
        </is>
      </c>
      <c r="O566" t="inlineStr">
        <is>
          <t>False</t>
        </is>
      </c>
      <c r="P566" t="n">
        <v>15</v>
      </c>
      <c r="Q566">
        <f>VLOOKUP(D566,GL_Accounts!$A$2:$E$1048576,5,FALSE)</f>
        <v/>
      </c>
      <c r="R566">
        <f>VLOOKUP(D566,GL_Accounts!$A$2:$E$1048576,4,FALSE)</f>
        <v/>
      </c>
    </row>
    <row r="567">
      <c r="A567" t="inlineStr">
        <is>
          <t>INV200566</t>
        </is>
      </c>
      <c r="B567" t="n">
        <v>20</v>
      </c>
      <c r="C567" t="inlineStr">
        <is>
          <t>V0020</t>
        </is>
      </c>
      <c r="D567" t="n">
        <v>7</v>
      </c>
      <c r="E567" t="n">
        <v>61200</v>
      </c>
      <c r="F567" t="inlineStr">
        <is>
          <t>PO100431</t>
        </is>
      </c>
      <c r="G567" t="n">
        <v>20250829</v>
      </c>
      <c r="H567" t="inlineStr">
        <is>
          <t>2025-08-29</t>
        </is>
      </c>
      <c r="I567" t="n">
        <v>20250913</v>
      </c>
      <c r="J567" t="inlineStr">
        <is>
          <t>2025-09-13</t>
        </is>
      </c>
      <c r="K567" s="9" t="n">
        <v>7425.34</v>
      </c>
      <c r="L567" t="inlineStr">
        <is>
          <t>USD</t>
        </is>
      </c>
      <c r="M567" s="4" t="n">
        <v>7425.34</v>
      </c>
      <c r="N567" t="inlineStr">
        <is>
          <t>Paid</t>
        </is>
      </c>
      <c r="O567" t="inlineStr">
        <is>
          <t>False</t>
        </is>
      </c>
      <c r="P567" t="n">
        <v>15</v>
      </c>
      <c r="Q567">
        <f>VLOOKUP(D567,GL_Accounts!$A$2:$E$1048576,5,FALSE)</f>
        <v/>
      </c>
      <c r="R567">
        <f>VLOOKUP(D567,GL_Accounts!$A$2:$E$1048576,4,FALSE)</f>
        <v/>
      </c>
    </row>
    <row r="568">
      <c r="A568" t="inlineStr">
        <is>
          <t>INV200567</t>
        </is>
      </c>
      <c r="B568" t="n">
        <v>20</v>
      </c>
      <c r="C568" t="inlineStr">
        <is>
          <t>V0020</t>
        </is>
      </c>
      <c r="D568" t="n">
        <v>6</v>
      </c>
      <c r="E568" t="n">
        <v>61100</v>
      </c>
      <c r="F568" t="inlineStr">
        <is>
          <t>PO100431</t>
        </is>
      </c>
      <c r="G568" t="n">
        <v>20250906</v>
      </c>
      <c r="H568" t="inlineStr">
        <is>
          <t>2025-09-06</t>
        </is>
      </c>
      <c r="I568" t="n">
        <v>20250921</v>
      </c>
      <c r="J568" t="inlineStr">
        <is>
          <t>2025-09-21</t>
        </is>
      </c>
      <c r="K568" s="9" t="n">
        <v>16573.98</v>
      </c>
      <c r="L568" t="inlineStr">
        <is>
          <t>USD</t>
        </is>
      </c>
      <c r="M568" s="4" t="n">
        <v>16573.98</v>
      </c>
      <c r="N568" t="inlineStr">
        <is>
          <t>Paid</t>
        </is>
      </c>
      <c r="O568" t="inlineStr">
        <is>
          <t>False</t>
        </is>
      </c>
      <c r="P568" t="n">
        <v>15</v>
      </c>
      <c r="Q568">
        <f>VLOOKUP(D568,GL_Accounts!$A$2:$E$1048576,5,FALSE)</f>
        <v/>
      </c>
      <c r="R568">
        <f>VLOOKUP(D568,GL_Accounts!$A$2:$E$1048576,4,FALSE)</f>
        <v/>
      </c>
    </row>
    <row r="569">
      <c r="A569" t="inlineStr">
        <is>
          <t>INV200568</t>
        </is>
      </c>
      <c r="B569" t="n">
        <v>23</v>
      </c>
      <c r="C569" t="inlineStr">
        <is>
          <t>V0023</t>
        </is>
      </c>
      <c r="D569" t="n">
        <v>1</v>
      </c>
      <c r="E569" t="n">
        <v>60100</v>
      </c>
      <c r="F569" t="inlineStr">
        <is>
          <t>PO100432</t>
        </is>
      </c>
      <c r="G569" t="n">
        <v>20250428</v>
      </c>
      <c r="H569" t="inlineStr">
        <is>
          <t>2025-04-28</t>
        </is>
      </c>
      <c r="I569" t="n">
        <v>20250612</v>
      </c>
      <c r="J569" t="inlineStr">
        <is>
          <t>2025-06-12</t>
        </is>
      </c>
      <c r="K569" s="9" t="n">
        <v>6437.58</v>
      </c>
      <c r="L569" t="inlineStr">
        <is>
          <t>USD</t>
        </is>
      </c>
      <c r="M569" s="4" t="n">
        <v>6437.58</v>
      </c>
      <c r="N569" t="inlineStr">
        <is>
          <t>Paid</t>
        </is>
      </c>
      <c r="O569" t="inlineStr">
        <is>
          <t>False</t>
        </is>
      </c>
      <c r="P569" t="n">
        <v>45</v>
      </c>
      <c r="Q569">
        <f>VLOOKUP(D569,GL_Accounts!$A$2:$E$1048576,5,FALSE)</f>
        <v/>
      </c>
      <c r="R569">
        <f>VLOOKUP(D569,GL_Accounts!$A$2:$E$1048576,4,FALSE)</f>
        <v/>
      </c>
    </row>
    <row r="570">
      <c r="A570" t="inlineStr">
        <is>
          <t>INV200569</t>
        </is>
      </c>
      <c r="B570" t="n">
        <v>23</v>
      </c>
      <c r="C570" t="inlineStr">
        <is>
          <t>V0023</t>
        </is>
      </c>
      <c r="D570" t="n">
        <v>4</v>
      </c>
      <c r="E570" t="n">
        <v>60200</v>
      </c>
      <c r="F570" t="inlineStr">
        <is>
          <t>PO100432</t>
        </is>
      </c>
      <c r="G570" t="n">
        <v>20250515</v>
      </c>
      <c r="H570" t="inlineStr">
        <is>
          <t>2025-05-15</t>
        </is>
      </c>
      <c r="I570" t="n">
        <v>20250629</v>
      </c>
      <c r="J570" t="inlineStr">
        <is>
          <t>2025-06-29</t>
        </is>
      </c>
      <c r="K570" s="9" t="n">
        <v>3810.8</v>
      </c>
      <c r="L570" t="inlineStr">
        <is>
          <t>USD</t>
        </is>
      </c>
      <c r="M570" s="4" t="n">
        <v>3810.8</v>
      </c>
      <c r="N570" t="inlineStr">
        <is>
          <t>Paid</t>
        </is>
      </c>
      <c r="O570" t="inlineStr">
        <is>
          <t>False</t>
        </is>
      </c>
      <c r="P570" t="n">
        <v>45</v>
      </c>
      <c r="Q570">
        <f>VLOOKUP(D570,GL_Accounts!$A$2:$E$1048576,5,FALSE)</f>
        <v/>
      </c>
      <c r="R570">
        <f>VLOOKUP(D570,GL_Accounts!$A$2:$E$1048576,4,FALSE)</f>
        <v/>
      </c>
    </row>
    <row r="571">
      <c r="A571" t="inlineStr">
        <is>
          <t>INV200570</t>
        </is>
      </c>
      <c r="B571" t="n">
        <v>23</v>
      </c>
      <c r="C571" t="inlineStr">
        <is>
          <t>V0023</t>
        </is>
      </c>
      <c r="D571" t="n">
        <v>2</v>
      </c>
      <c r="E571" t="n">
        <v>60110</v>
      </c>
      <c r="F571" t="inlineStr">
        <is>
          <t>PO100432</t>
        </is>
      </c>
      <c r="G571" t="n">
        <v>20250525</v>
      </c>
      <c r="H571" t="inlineStr">
        <is>
          <t>2025-05-25</t>
        </is>
      </c>
      <c r="I571" t="n">
        <v>20250709</v>
      </c>
      <c r="J571" t="inlineStr">
        <is>
          <t>2025-07-09</t>
        </is>
      </c>
      <c r="K571" s="9" t="n">
        <v>18741.2</v>
      </c>
      <c r="L571" t="inlineStr">
        <is>
          <t>USD</t>
        </is>
      </c>
      <c r="M571" s="4" t="n">
        <v>18741.2</v>
      </c>
      <c r="N571" t="inlineStr">
        <is>
          <t>Paid</t>
        </is>
      </c>
      <c r="O571" t="inlineStr">
        <is>
          <t>False</t>
        </is>
      </c>
      <c r="P571" t="n">
        <v>45</v>
      </c>
      <c r="Q571">
        <f>VLOOKUP(D571,GL_Accounts!$A$2:$E$1048576,5,FALSE)</f>
        <v/>
      </c>
      <c r="R571">
        <f>VLOOKUP(D571,GL_Accounts!$A$2:$E$1048576,4,FALSE)</f>
        <v/>
      </c>
    </row>
    <row r="572">
      <c r="A572" t="inlineStr">
        <is>
          <t>INV200571</t>
        </is>
      </c>
      <c r="B572" t="n">
        <v>22</v>
      </c>
      <c r="C572" t="inlineStr">
        <is>
          <t>V0022</t>
        </is>
      </c>
      <c r="D572" t="n">
        <v>8</v>
      </c>
      <c r="E572" t="n">
        <v>61300</v>
      </c>
      <c r="F572" t="inlineStr">
        <is>
          <t>PO100433</t>
        </is>
      </c>
      <c r="G572" t="n">
        <v>20250127</v>
      </c>
      <c r="H572" t="inlineStr">
        <is>
          <t>2025-01-27</t>
        </is>
      </c>
      <c r="I572" t="n">
        <v>20250226</v>
      </c>
      <c r="J572" t="inlineStr">
        <is>
          <t>2025-02-26</t>
        </is>
      </c>
      <c r="K572" s="9" t="n">
        <v>1319.6</v>
      </c>
      <c r="L572" t="inlineStr">
        <is>
          <t>USD</t>
        </is>
      </c>
      <c r="M572" s="4" t="n">
        <v>1319.6</v>
      </c>
      <c r="N572" t="inlineStr">
        <is>
          <t>Paid</t>
        </is>
      </c>
      <c r="O572" t="inlineStr">
        <is>
          <t>False</t>
        </is>
      </c>
      <c r="P572" t="n">
        <v>30</v>
      </c>
      <c r="Q572">
        <f>VLOOKUP(D572,GL_Accounts!$A$2:$E$1048576,5,FALSE)</f>
        <v/>
      </c>
      <c r="R572">
        <f>VLOOKUP(D572,GL_Accounts!$A$2:$E$1048576,4,FALSE)</f>
        <v/>
      </c>
    </row>
    <row r="573">
      <c r="A573" t="inlineStr">
        <is>
          <t>INV200572</t>
        </is>
      </c>
      <c r="B573" t="n">
        <v>22</v>
      </c>
      <c r="C573" t="inlineStr">
        <is>
          <t>V0022</t>
        </is>
      </c>
      <c r="D573" t="n">
        <v>6</v>
      </c>
      <c r="E573" t="n">
        <v>61100</v>
      </c>
      <c r="F573" t="inlineStr">
        <is>
          <t>PO100433</t>
        </is>
      </c>
      <c r="G573" t="n">
        <v>20250216</v>
      </c>
      <c r="H573" t="inlineStr">
        <is>
          <t>2025-02-16</t>
        </is>
      </c>
      <c r="I573" t="n">
        <v>20250318</v>
      </c>
      <c r="J573" t="inlineStr">
        <is>
          <t>2025-03-18</t>
        </is>
      </c>
      <c r="K573" s="9" t="n">
        <v>1908.26</v>
      </c>
      <c r="L573" t="inlineStr">
        <is>
          <t>USD</t>
        </is>
      </c>
      <c r="M573" s="4" t="n">
        <v>1908.26</v>
      </c>
      <c r="N573" t="inlineStr">
        <is>
          <t>Unpaid</t>
        </is>
      </c>
      <c r="O573" t="inlineStr">
        <is>
          <t>False</t>
        </is>
      </c>
      <c r="P573" t="n">
        <v>30</v>
      </c>
      <c r="Q573">
        <f>VLOOKUP(D573,GL_Accounts!$A$2:$E$1048576,5,FALSE)</f>
        <v/>
      </c>
      <c r="R573">
        <f>VLOOKUP(D573,GL_Accounts!$A$2:$E$1048576,4,FALSE)</f>
        <v/>
      </c>
    </row>
    <row r="574">
      <c r="A574" t="inlineStr">
        <is>
          <t>INV200573</t>
        </is>
      </c>
      <c r="B574" t="n">
        <v>40</v>
      </c>
      <c r="C574" t="inlineStr">
        <is>
          <t>V0040</t>
        </is>
      </c>
      <c r="D574" t="n">
        <v>11</v>
      </c>
      <c r="E574" t="n">
        <v>62200</v>
      </c>
      <c r="F574" t="inlineStr">
        <is>
          <t>PO100434</t>
        </is>
      </c>
      <c r="G574" t="n">
        <v>20260516</v>
      </c>
      <c r="H574" t="inlineStr">
        <is>
          <t>2026-05-16</t>
        </is>
      </c>
      <c r="I574" t="n">
        <v>20260615</v>
      </c>
      <c r="J574" t="inlineStr">
        <is>
          <t>2026-06-15</t>
        </is>
      </c>
      <c r="K574" s="9" t="n">
        <v>130.12</v>
      </c>
      <c r="L574" t="inlineStr">
        <is>
          <t>USD</t>
        </is>
      </c>
      <c r="M574" s="4" t="n">
        <v>130.12</v>
      </c>
      <c r="N574" t="inlineStr">
        <is>
          <t>Unpaid</t>
        </is>
      </c>
      <c r="O574" t="inlineStr">
        <is>
          <t>False</t>
        </is>
      </c>
      <c r="P574" t="n">
        <v>30</v>
      </c>
      <c r="Q574">
        <f>VLOOKUP(D574,GL_Accounts!$A$2:$E$1048576,5,FALSE)</f>
        <v/>
      </c>
      <c r="R574">
        <f>VLOOKUP(D574,GL_Accounts!$A$2:$E$1048576,4,FALSE)</f>
        <v/>
      </c>
    </row>
    <row r="575">
      <c r="A575" t="inlineStr">
        <is>
          <t>INV200574</t>
        </is>
      </c>
      <c r="B575" t="n">
        <v>40</v>
      </c>
      <c r="C575" t="inlineStr">
        <is>
          <t>V0040</t>
        </is>
      </c>
      <c r="D575" t="n">
        <v>13</v>
      </c>
      <c r="E575" t="n">
        <v>62400</v>
      </c>
      <c r="F575" t="inlineStr">
        <is>
          <t>PO100434</t>
        </is>
      </c>
      <c r="G575" t="n">
        <v>20260611</v>
      </c>
      <c r="H575" t="inlineStr">
        <is>
          <t>2026-06-11</t>
        </is>
      </c>
      <c r="I575" t="n">
        <v>20260711</v>
      </c>
      <c r="J575" t="inlineStr">
        <is>
          <t>2026-07-11</t>
        </is>
      </c>
      <c r="K575" s="9" t="n">
        <v>170.85</v>
      </c>
      <c r="L575" t="inlineStr">
        <is>
          <t>USD</t>
        </is>
      </c>
      <c r="M575" s="4" t="n">
        <v>170.85</v>
      </c>
      <c r="N575" t="inlineStr">
        <is>
          <t>Paid</t>
        </is>
      </c>
      <c r="O575" t="inlineStr">
        <is>
          <t>False</t>
        </is>
      </c>
      <c r="P575" t="n">
        <v>30</v>
      </c>
      <c r="Q575">
        <f>VLOOKUP(D575,GL_Accounts!$A$2:$E$1048576,5,FALSE)</f>
        <v/>
      </c>
      <c r="R575">
        <f>VLOOKUP(D575,GL_Accounts!$A$2:$E$1048576,4,FALSE)</f>
        <v/>
      </c>
    </row>
    <row r="576">
      <c r="A576" t="inlineStr">
        <is>
          <t>INV200575</t>
        </is>
      </c>
      <c r="B576" t="n">
        <v>40</v>
      </c>
      <c r="C576" t="inlineStr">
        <is>
          <t>V0040</t>
        </is>
      </c>
      <c r="D576" t="n">
        <v>13</v>
      </c>
      <c r="E576" t="n">
        <v>62400</v>
      </c>
      <c r="F576" t="inlineStr">
        <is>
          <t>PO100434</t>
        </is>
      </c>
      <c r="G576" t="n">
        <v>20260611</v>
      </c>
      <c r="H576" t="inlineStr">
        <is>
          <t>2026-06-11</t>
        </is>
      </c>
      <c r="I576" t="n">
        <v>20260711</v>
      </c>
      <c r="J576" t="inlineStr">
        <is>
          <t>2026-07-11</t>
        </is>
      </c>
      <c r="K576" s="9" t="n">
        <v>244.08</v>
      </c>
      <c r="L576" t="inlineStr">
        <is>
          <t>USD</t>
        </is>
      </c>
      <c r="M576" s="4" t="n">
        <v>244.08</v>
      </c>
      <c r="N576" t="inlineStr">
        <is>
          <t>Unpaid</t>
        </is>
      </c>
      <c r="O576" t="inlineStr">
        <is>
          <t>False</t>
        </is>
      </c>
      <c r="P576" t="n">
        <v>30</v>
      </c>
      <c r="Q576">
        <f>VLOOKUP(D576,GL_Accounts!$A$2:$E$1048576,5,FALSE)</f>
        <v/>
      </c>
      <c r="R576">
        <f>VLOOKUP(D576,GL_Accounts!$A$2:$E$1048576,4,FALSE)</f>
        <v/>
      </c>
    </row>
    <row r="577">
      <c r="A577" t="inlineStr">
        <is>
          <t>INV200576</t>
        </is>
      </c>
      <c r="B577" t="n">
        <v>50</v>
      </c>
      <c r="C577" t="inlineStr">
        <is>
          <t>V0050</t>
        </is>
      </c>
      <c r="D577" t="n">
        <v>4</v>
      </c>
      <c r="E577" t="n">
        <v>60200</v>
      </c>
      <c r="F577" t="inlineStr">
        <is>
          <t>PO100435</t>
        </is>
      </c>
      <c r="G577" t="n">
        <v>20250108</v>
      </c>
      <c r="H577" t="inlineStr">
        <is>
          <t>2025-01-08</t>
        </is>
      </c>
      <c r="I577" t="n">
        <v>20250207</v>
      </c>
      <c r="J577" t="inlineStr">
        <is>
          <t>2025-02-07</t>
        </is>
      </c>
      <c r="K577" s="9" t="n">
        <v>48069.88</v>
      </c>
      <c r="L577" t="inlineStr">
        <is>
          <t>USD</t>
        </is>
      </c>
      <c r="M577" s="4" t="n">
        <v>48069.88</v>
      </c>
      <c r="N577" t="inlineStr">
        <is>
          <t>Paid</t>
        </is>
      </c>
      <c r="O577" t="inlineStr">
        <is>
          <t>False</t>
        </is>
      </c>
      <c r="P577" t="n">
        <v>30</v>
      </c>
      <c r="Q577">
        <f>VLOOKUP(D577,GL_Accounts!$A$2:$E$1048576,5,FALSE)</f>
        <v/>
      </c>
      <c r="R577">
        <f>VLOOKUP(D577,GL_Accounts!$A$2:$E$1048576,4,FALSE)</f>
        <v/>
      </c>
    </row>
    <row r="578">
      <c r="A578" t="inlineStr">
        <is>
          <t>INV200577</t>
        </is>
      </c>
      <c r="B578" t="n">
        <v>2</v>
      </c>
      <c r="C578" t="inlineStr">
        <is>
          <t>V0002</t>
        </is>
      </c>
      <c r="D578" t="n">
        <v>12</v>
      </c>
      <c r="E578" t="n">
        <v>62300</v>
      </c>
      <c r="F578" t="inlineStr">
        <is>
          <t>PO100436</t>
        </is>
      </c>
      <c r="G578" t="n">
        <v>20251108</v>
      </c>
      <c r="H578" t="inlineStr">
        <is>
          <t>2025-11-08</t>
        </is>
      </c>
      <c r="I578" t="n">
        <v>20251223</v>
      </c>
      <c r="J578" t="inlineStr">
        <is>
          <t>2025-12-23</t>
        </is>
      </c>
      <c r="K578" s="9" t="n">
        <v>1875.55</v>
      </c>
      <c r="L578" t="inlineStr">
        <is>
          <t>USD</t>
        </is>
      </c>
      <c r="M578" s="4" t="n">
        <v>1875.55</v>
      </c>
      <c r="N578" t="inlineStr">
        <is>
          <t>Paid</t>
        </is>
      </c>
      <c r="O578" t="inlineStr">
        <is>
          <t>False</t>
        </is>
      </c>
      <c r="P578" t="n">
        <v>45</v>
      </c>
      <c r="Q578">
        <f>VLOOKUP(D578,GL_Accounts!$A$2:$E$1048576,5,FALSE)</f>
        <v/>
      </c>
      <c r="R578">
        <f>VLOOKUP(D578,GL_Accounts!$A$2:$E$1048576,4,FALSE)</f>
        <v/>
      </c>
    </row>
    <row r="579">
      <c r="A579" t="inlineStr">
        <is>
          <t>INV200578</t>
        </is>
      </c>
      <c r="B579" t="n">
        <v>62</v>
      </c>
      <c r="C579" t="inlineStr">
        <is>
          <t>V0002</t>
        </is>
      </c>
      <c r="D579" t="n">
        <v>10</v>
      </c>
      <c r="E579" t="n">
        <v>62100</v>
      </c>
      <c r="F579" t="inlineStr">
        <is>
          <t>PO100436</t>
        </is>
      </c>
      <c r="G579" t="n">
        <v>20251113</v>
      </c>
      <c r="H579" t="inlineStr">
        <is>
          <t>2025-11-13</t>
        </is>
      </c>
      <c r="I579" t="n">
        <v>20251213</v>
      </c>
      <c r="J579" t="inlineStr">
        <is>
          <t>2025-12-13</t>
        </is>
      </c>
      <c r="K579" s="9" t="n">
        <v>751.49</v>
      </c>
      <c r="L579" t="inlineStr">
        <is>
          <t>USD</t>
        </is>
      </c>
      <c r="M579" s="4" t="n">
        <v>751.49</v>
      </c>
      <c r="N579" t="inlineStr">
        <is>
          <t>Paid</t>
        </is>
      </c>
      <c r="O579" t="inlineStr">
        <is>
          <t>False</t>
        </is>
      </c>
      <c r="P579" t="n">
        <v>30</v>
      </c>
      <c r="Q579">
        <f>VLOOKUP(D579,GL_Accounts!$A$2:$E$1048576,5,FALSE)</f>
        <v/>
      </c>
      <c r="R579">
        <f>VLOOKUP(D579,GL_Accounts!$A$2:$E$1048576,4,FALSE)</f>
        <v/>
      </c>
    </row>
    <row r="580">
      <c r="A580" t="inlineStr">
        <is>
          <t>INV200579</t>
        </is>
      </c>
      <c r="B580" t="n">
        <v>62</v>
      </c>
      <c r="C580" t="inlineStr">
        <is>
          <t>V0002</t>
        </is>
      </c>
      <c r="D580" t="n">
        <v>11</v>
      </c>
      <c r="E580" t="n">
        <v>62200</v>
      </c>
      <c r="F580" t="inlineStr">
        <is>
          <t>PO100436</t>
        </is>
      </c>
      <c r="G580" t="n">
        <v>20251205</v>
      </c>
      <c r="H580" t="inlineStr">
        <is>
          <t>2025-12-05</t>
        </is>
      </c>
      <c r="I580" t="n">
        <v>20260104</v>
      </c>
      <c r="J580" t="inlineStr">
        <is>
          <t>2026-01-04</t>
        </is>
      </c>
      <c r="K580" s="9" t="n">
        <v>1062.1</v>
      </c>
      <c r="L580" t="inlineStr">
        <is>
          <t>USD</t>
        </is>
      </c>
      <c r="M580" s="4" t="n">
        <v>1062.1</v>
      </c>
      <c r="N580" t="inlineStr">
        <is>
          <t>Paid</t>
        </is>
      </c>
      <c r="O580" t="inlineStr">
        <is>
          <t>False</t>
        </is>
      </c>
      <c r="P580" t="n">
        <v>30</v>
      </c>
      <c r="Q580">
        <f>VLOOKUP(D580,GL_Accounts!$A$2:$E$1048576,5,FALSE)</f>
        <v/>
      </c>
      <c r="R580">
        <f>VLOOKUP(D580,GL_Accounts!$A$2:$E$1048576,4,FALSE)</f>
        <v/>
      </c>
    </row>
    <row r="581">
      <c r="A581" t="inlineStr">
        <is>
          <t>INV200580</t>
        </is>
      </c>
      <c r="B581" t="n">
        <v>42</v>
      </c>
      <c r="C581" t="inlineStr">
        <is>
          <t>V0042</t>
        </is>
      </c>
      <c r="D581" t="n">
        <v>17</v>
      </c>
      <c r="E581" t="n">
        <v>64100</v>
      </c>
      <c r="F581" t="inlineStr">
        <is>
          <t>PO100437</t>
        </is>
      </c>
      <c r="G581" t="n">
        <v>20241204</v>
      </c>
      <c r="H581" t="inlineStr">
        <is>
          <t>2024-12-04</t>
        </is>
      </c>
      <c r="I581" t="n">
        <v>20250118</v>
      </c>
      <c r="J581" t="inlineStr">
        <is>
          <t>2025-01-18</t>
        </is>
      </c>
      <c r="K581" s="9" t="n">
        <v>43302.81</v>
      </c>
      <c r="L581" t="inlineStr">
        <is>
          <t>USD</t>
        </is>
      </c>
      <c r="M581" s="4" t="n">
        <v>43302.81</v>
      </c>
      <c r="N581" t="inlineStr">
        <is>
          <t>Paid</t>
        </is>
      </c>
      <c r="O581" t="inlineStr">
        <is>
          <t>False</t>
        </is>
      </c>
      <c r="P581" t="n">
        <v>45</v>
      </c>
      <c r="Q581">
        <f>VLOOKUP(D581,GL_Accounts!$A$2:$E$1048576,5,FALSE)</f>
        <v/>
      </c>
      <c r="R581">
        <f>VLOOKUP(D581,GL_Accounts!$A$2:$E$1048576,4,FALSE)</f>
        <v/>
      </c>
    </row>
    <row r="582">
      <c r="A582" t="inlineStr">
        <is>
          <t>INV200581</t>
        </is>
      </c>
      <c r="B582" t="n">
        <v>21</v>
      </c>
      <c r="C582" t="inlineStr">
        <is>
          <t>V0021</t>
        </is>
      </c>
      <c r="D582" t="n">
        <v>17</v>
      </c>
      <c r="E582" t="n">
        <v>64100</v>
      </c>
      <c r="F582" t="inlineStr">
        <is>
          <t>PO100438</t>
        </is>
      </c>
      <c r="G582" t="n">
        <v>20260501</v>
      </c>
      <c r="H582" t="inlineStr">
        <is>
          <t>2026-05-01</t>
        </is>
      </c>
      <c r="I582" t="n">
        <v>20260630</v>
      </c>
      <c r="J582" t="inlineStr">
        <is>
          <t>2026-06-30</t>
        </is>
      </c>
      <c r="K582" s="9" t="n">
        <v>21249.68</v>
      </c>
      <c r="L582" t="inlineStr">
        <is>
          <t>USD</t>
        </is>
      </c>
      <c r="M582" s="4" t="n">
        <v>21249.68</v>
      </c>
      <c r="N582" t="inlineStr">
        <is>
          <t>Unpaid</t>
        </is>
      </c>
      <c r="O582" t="inlineStr">
        <is>
          <t>False</t>
        </is>
      </c>
      <c r="P582" t="n">
        <v>60</v>
      </c>
      <c r="Q582">
        <f>VLOOKUP(D582,GL_Accounts!$A$2:$E$1048576,5,FALSE)</f>
        <v/>
      </c>
      <c r="R582">
        <f>VLOOKUP(D582,GL_Accounts!$A$2:$E$1048576,4,FALSE)</f>
        <v/>
      </c>
    </row>
    <row r="583">
      <c r="A583" t="inlineStr">
        <is>
          <t>INV200582</t>
        </is>
      </c>
      <c r="B583" t="n">
        <v>21</v>
      </c>
      <c r="C583" t="inlineStr">
        <is>
          <t>V0021</t>
        </is>
      </c>
      <c r="D583" t="n">
        <v>8</v>
      </c>
      <c r="E583" t="n">
        <v>61300</v>
      </c>
      <c r="F583" t="inlineStr">
        <is>
          <t>PO100438</t>
        </is>
      </c>
      <c r="G583" t="n">
        <v>20260605</v>
      </c>
      <c r="H583" t="inlineStr">
        <is>
          <t>2026-06-05</t>
        </is>
      </c>
      <c r="I583" t="n">
        <v>20260804</v>
      </c>
      <c r="J583" t="inlineStr">
        <is>
          <t>2026-08-04</t>
        </is>
      </c>
      <c r="K583" s="9" t="n">
        <v>26725.57</v>
      </c>
      <c r="L583" t="inlineStr">
        <is>
          <t>USD</t>
        </is>
      </c>
      <c r="M583" s="4" t="n">
        <v>26725.57</v>
      </c>
      <c r="N583" t="inlineStr">
        <is>
          <t>Paid</t>
        </is>
      </c>
      <c r="O583" t="inlineStr">
        <is>
          <t>False</t>
        </is>
      </c>
      <c r="P583" t="n">
        <v>60</v>
      </c>
      <c r="Q583">
        <f>VLOOKUP(D583,GL_Accounts!$A$2:$E$1048576,5,FALSE)</f>
        <v/>
      </c>
      <c r="R583">
        <f>VLOOKUP(D583,GL_Accounts!$A$2:$E$1048576,4,FALSE)</f>
        <v/>
      </c>
    </row>
    <row r="584">
      <c r="A584" t="inlineStr">
        <is>
          <t>INV200583</t>
        </is>
      </c>
      <c r="B584" t="n">
        <v>38</v>
      </c>
      <c r="C584" t="inlineStr">
        <is>
          <t>V0038</t>
        </is>
      </c>
      <c r="D584" t="n">
        <v>6</v>
      </c>
      <c r="E584" t="n">
        <v>61100</v>
      </c>
      <c r="F584" t="inlineStr">
        <is>
          <t>PO100439</t>
        </is>
      </c>
      <c r="G584" t="n">
        <v>20260101</v>
      </c>
      <c r="H584" t="inlineStr">
        <is>
          <t>2026-01-01</t>
        </is>
      </c>
      <c r="I584" t="n">
        <v>20260215</v>
      </c>
      <c r="J584" t="inlineStr">
        <is>
          <t>2026-02-15</t>
        </is>
      </c>
      <c r="K584" s="9" t="n">
        <v>3629.78</v>
      </c>
      <c r="L584" t="inlineStr">
        <is>
          <t>USD</t>
        </is>
      </c>
      <c r="M584" s="4" t="n">
        <v>3629.78</v>
      </c>
      <c r="N584" t="inlineStr">
        <is>
          <t>Paid</t>
        </is>
      </c>
      <c r="O584" t="inlineStr">
        <is>
          <t>False</t>
        </is>
      </c>
      <c r="P584" t="n">
        <v>45</v>
      </c>
      <c r="Q584">
        <f>VLOOKUP(D584,GL_Accounts!$A$2:$E$1048576,5,FALSE)</f>
        <v/>
      </c>
      <c r="R584">
        <f>VLOOKUP(D584,GL_Accounts!$A$2:$E$1048576,4,FALSE)</f>
        <v/>
      </c>
    </row>
    <row r="585">
      <c r="A585" t="inlineStr">
        <is>
          <t>INV200584</t>
        </is>
      </c>
      <c r="B585" t="n">
        <v>38</v>
      </c>
      <c r="C585" t="inlineStr">
        <is>
          <t>V0038</t>
        </is>
      </c>
      <c r="D585" t="n">
        <v>8</v>
      </c>
      <c r="E585" t="n">
        <v>61300</v>
      </c>
      <c r="F585" t="inlineStr">
        <is>
          <t>PO100439</t>
        </is>
      </c>
      <c r="G585" t="n">
        <v>20260129</v>
      </c>
      <c r="H585" t="inlineStr">
        <is>
          <t>2026-01-29</t>
        </is>
      </c>
      <c r="I585" t="n">
        <v>20260315</v>
      </c>
      <c r="J585" t="inlineStr">
        <is>
          <t>2026-03-15</t>
        </is>
      </c>
      <c r="K585" s="9" t="n">
        <v>6962.82</v>
      </c>
      <c r="L585" t="inlineStr">
        <is>
          <t>USD</t>
        </is>
      </c>
      <c r="M585" s="4" t="n">
        <v>6962.82</v>
      </c>
      <c r="N585" t="inlineStr">
        <is>
          <t>Paid</t>
        </is>
      </c>
      <c r="O585" t="inlineStr">
        <is>
          <t>False</t>
        </is>
      </c>
      <c r="P585" t="n">
        <v>45</v>
      </c>
      <c r="Q585">
        <f>VLOOKUP(D585,GL_Accounts!$A$2:$E$1048576,5,FALSE)</f>
        <v/>
      </c>
      <c r="R585">
        <f>VLOOKUP(D585,GL_Accounts!$A$2:$E$1048576,4,FALSE)</f>
        <v/>
      </c>
    </row>
    <row r="586">
      <c r="A586" t="inlineStr">
        <is>
          <t>INV200585</t>
        </is>
      </c>
      <c r="B586" t="n">
        <v>40</v>
      </c>
      <c r="C586" t="inlineStr">
        <is>
          <t>V0040</t>
        </is>
      </c>
      <c r="D586" t="n">
        <v>13</v>
      </c>
      <c r="E586" t="n">
        <v>62400</v>
      </c>
      <c r="F586" t="inlineStr">
        <is>
          <t>PO100440</t>
        </is>
      </c>
      <c r="G586" t="n">
        <v>20260715</v>
      </c>
      <c r="H586" t="inlineStr">
        <is>
          <t>2026-07-15</t>
        </is>
      </c>
      <c r="I586" t="n">
        <v>20260814</v>
      </c>
      <c r="J586" t="inlineStr">
        <is>
          <t>2026-08-14</t>
        </is>
      </c>
      <c r="K586" s="9" t="n">
        <v>1014.32</v>
      </c>
      <c r="L586" t="inlineStr">
        <is>
          <t>USD</t>
        </is>
      </c>
      <c r="M586" s="4" t="n">
        <v>1014.32</v>
      </c>
      <c r="N586" t="inlineStr">
        <is>
          <t>Paid</t>
        </is>
      </c>
      <c r="O586" t="inlineStr">
        <is>
          <t>False</t>
        </is>
      </c>
      <c r="P586" t="n">
        <v>30</v>
      </c>
      <c r="Q586">
        <f>VLOOKUP(D586,GL_Accounts!$A$2:$E$1048576,5,FALSE)</f>
        <v/>
      </c>
      <c r="R586">
        <f>VLOOKUP(D586,GL_Accounts!$A$2:$E$1048576,4,FALSE)</f>
        <v/>
      </c>
    </row>
    <row r="587">
      <c r="A587" t="inlineStr">
        <is>
          <t>INV200586</t>
        </is>
      </c>
      <c r="B587" t="n">
        <v>40</v>
      </c>
      <c r="C587" t="inlineStr">
        <is>
          <t>V0040</t>
        </is>
      </c>
      <c r="D587" t="n">
        <v>13</v>
      </c>
      <c r="E587" t="n">
        <v>62400</v>
      </c>
      <c r="F587" t="inlineStr">
        <is>
          <t>PO100440</t>
        </is>
      </c>
      <c r="G587" t="n">
        <v>20260729</v>
      </c>
      <c r="H587" t="inlineStr">
        <is>
          <t>2026-07-29</t>
        </is>
      </c>
      <c r="I587" t="n">
        <v>20260828</v>
      </c>
      <c r="J587" t="inlineStr">
        <is>
          <t>2026-08-28</t>
        </is>
      </c>
      <c r="K587" s="9" t="n">
        <v>475.69</v>
      </c>
      <c r="L587" t="inlineStr">
        <is>
          <t>USD</t>
        </is>
      </c>
      <c r="M587" s="4" t="n">
        <v>475.69</v>
      </c>
      <c r="N587" t="inlineStr">
        <is>
          <t>Unpaid</t>
        </is>
      </c>
      <c r="O587" t="inlineStr">
        <is>
          <t>False</t>
        </is>
      </c>
      <c r="P587" t="n">
        <v>30</v>
      </c>
      <c r="Q587">
        <f>VLOOKUP(D587,GL_Accounts!$A$2:$E$1048576,5,FALSE)</f>
        <v/>
      </c>
      <c r="R587">
        <f>VLOOKUP(D587,GL_Accounts!$A$2:$E$1048576,4,FALSE)</f>
        <v/>
      </c>
    </row>
    <row r="588">
      <c r="A588" t="inlineStr">
        <is>
          <t>INV200587</t>
        </is>
      </c>
      <c r="B588" t="n">
        <v>17</v>
      </c>
      <c r="C588" t="inlineStr">
        <is>
          <t>V0017</t>
        </is>
      </c>
      <c r="D588" t="n">
        <v>7</v>
      </c>
      <c r="E588" t="n">
        <v>61200</v>
      </c>
      <c r="F588" t="inlineStr">
        <is>
          <t>PO100442</t>
        </is>
      </c>
      <c r="G588" t="n">
        <v>20251102</v>
      </c>
      <c r="H588" t="inlineStr">
        <is>
          <t>2025-11-02</t>
        </is>
      </c>
      <c r="I588" t="n">
        <v>20251217</v>
      </c>
      <c r="J588" t="inlineStr">
        <is>
          <t>2025-12-17</t>
        </is>
      </c>
      <c r="K588" s="9" t="n">
        <v>3130.35</v>
      </c>
      <c r="L588" t="inlineStr">
        <is>
          <t>USD</t>
        </is>
      </c>
      <c r="M588" s="4" t="n">
        <v>3130.35</v>
      </c>
      <c r="N588" t="inlineStr">
        <is>
          <t>Paid</t>
        </is>
      </c>
      <c r="O588" t="inlineStr">
        <is>
          <t>False</t>
        </is>
      </c>
      <c r="P588" t="n">
        <v>45</v>
      </c>
      <c r="Q588">
        <f>VLOOKUP(D588,GL_Accounts!$A$2:$E$1048576,5,FALSE)</f>
        <v/>
      </c>
      <c r="R588">
        <f>VLOOKUP(D588,GL_Accounts!$A$2:$E$1048576,4,FALSE)</f>
        <v/>
      </c>
    </row>
    <row r="589">
      <c r="A589" t="inlineStr">
        <is>
          <t>INV200588</t>
        </is>
      </c>
      <c r="B589" t="n">
        <v>17</v>
      </c>
      <c r="C589" t="inlineStr">
        <is>
          <t>V0017</t>
        </is>
      </c>
      <c r="D589" t="n">
        <v>6</v>
      </c>
      <c r="E589" t="n">
        <v>61100</v>
      </c>
      <c r="F589" t="inlineStr">
        <is>
          <t>PO100442</t>
        </is>
      </c>
      <c r="G589" t="n">
        <v>20251201</v>
      </c>
      <c r="H589" t="inlineStr">
        <is>
          <t>2025-12-01</t>
        </is>
      </c>
      <c r="I589" t="n">
        <v>20260115</v>
      </c>
      <c r="J589" t="inlineStr">
        <is>
          <t>2026-01-15</t>
        </is>
      </c>
      <c r="K589" s="9" t="n">
        <v>4932.66</v>
      </c>
      <c r="L589" t="inlineStr">
        <is>
          <t>USD</t>
        </is>
      </c>
      <c r="M589" s="4" t="n">
        <v>4932.66</v>
      </c>
      <c r="N589" t="inlineStr">
        <is>
          <t>Paid</t>
        </is>
      </c>
      <c r="O589" t="inlineStr">
        <is>
          <t>False</t>
        </is>
      </c>
      <c r="P589" t="n">
        <v>45</v>
      </c>
      <c r="Q589">
        <f>VLOOKUP(D589,GL_Accounts!$A$2:$E$1048576,5,FALSE)</f>
        <v/>
      </c>
      <c r="R589">
        <f>VLOOKUP(D589,GL_Accounts!$A$2:$E$1048576,4,FALSE)</f>
        <v/>
      </c>
    </row>
    <row r="590">
      <c r="A590" t="inlineStr">
        <is>
          <t>INV200589</t>
        </is>
      </c>
      <c r="B590" t="n">
        <v>25</v>
      </c>
      <c r="C590" t="inlineStr">
        <is>
          <t>V0025</t>
        </is>
      </c>
      <c r="D590" t="n">
        <v>9</v>
      </c>
      <c r="E590" t="n">
        <v>61400</v>
      </c>
      <c r="F590" t="inlineStr">
        <is>
          <t>PO100443</t>
        </is>
      </c>
      <c r="G590" t="n">
        <v>20241005</v>
      </c>
      <c r="H590" t="inlineStr">
        <is>
          <t>2024-10-05</t>
        </is>
      </c>
      <c r="I590" t="n">
        <v>20241104</v>
      </c>
      <c r="J590" t="inlineStr">
        <is>
          <t>2024-11-04</t>
        </is>
      </c>
      <c r="K590" s="9" t="n">
        <v>1658.07</v>
      </c>
      <c r="L590" t="inlineStr">
        <is>
          <t>GBP</t>
        </is>
      </c>
      <c r="M590" s="4" t="n">
        <v>2105.75</v>
      </c>
      <c r="N590" t="inlineStr">
        <is>
          <t>Paid</t>
        </is>
      </c>
      <c r="O590" t="inlineStr">
        <is>
          <t>False</t>
        </is>
      </c>
      <c r="P590" t="n">
        <v>30</v>
      </c>
      <c r="Q590">
        <f>VLOOKUP(D590,GL_Accounts!$A$2:$E$1048576,5,FALSE)</f>
        <v/>
      </c>
      <c r="R590">
        <f>VLOOKUP(D590,GL_Accounts!$A$2:$E$1048576,4,FALSE)</f>
        <v/>
      </c>
    </row>
    <row r="591">
      <c r="A591" t="inlineStr">
        <is>
          <t>INV200590</t>
        </is>
      </c>
      <c r="B591" t="n">
        <v>25</v>
      </c>
      <c r="C591" t="inlineStr">
        <is>
          <t>V0025</t>
        </is>
      </c>
      <c r="D591" t="n">
        <v>7</v>
      </c>
      <c r="E591" t="n">
        <v>61200</v>
      </c>
      <c r="F591" t="inlineStr">
        <is>
          <t>PO100443</t>
        </is>
      </c>
      <c r="G591" t="n">
        <v>20241122</v>
      </c>
      <c r="H591" t="inlineStr">
        <is>
          <t>2024-11-22</t>
        </is>
      </c>
      <c r="I591" t="n">
        <v>20241222</v>
      </c>
      <c r="J591" t="inlineStr">
        <is>
          <t>2024-12-22</t>
        </is>
      </c>
      <c r="K591" s="9" t="n">
        <v>3112.38</v>
      </c>
      <c r="L591" t="inlineStr">
        <is>
          <t>GBP</t>
        </is>
      </c>
      <c r="M591" s="4" t="n">
        <v>3952.72</v>
      </c>
      <c r="N591" t="inlineStr">
        <is>
          <t>Paid</t>
        </is>
      </c>
      <c r="O591" t="inlineStr">
        <is>
          <t>False</t>
        </is>
      </c>
      <c r="P591" t="n">
        <v>30</v>
      </c>
      <c r="Q591">
        <f>VLOOKUP(D591,GL_Accounts!$A$2:$E$1048576,5,FALSE)</f>
        <v/>
      </c>
      <c r="R591">
        <f>VLOOKUP(D591,GL_Accounts!$A$2:$E$1048576,4,FALSE)</f>
        <v/>
      </c>
    </row>
    <row r="592">
      <c r="A592" t="inlineStr">
        <is>
          <t>INV200591</t>
        </is>
      </c>
      <c r="B592" t="n">
        <v>48</v>
      </c>
      <c r="C592" t="inlineStr">
        <is>
          <t>V0048</t>
        </is>
      </c>
      <c r="D592" t="n">
        <v>2</v>
      </c>
      <c r="E592" t="n">
        <v>60110</v>
      </c>
      <c r="F592" t="inlineStr">
        <is>
          <t>PO100445</t>
        </is>
      </c>
      <c r="G592" t="n">
        <v>20250425</v>
      </c>
      <c r="H592" t="inlineStr">
        <is>
          <t>2025-04-25</t>
        </is>
      </c>
      <c r="I592" t="n">
        <v>20250609</v>
      </c>
      <c r="J592" t="inlineStr">
        <is>
          <t>2025-06-09</t>
        </is>
      </c>
      <c r="K592" s="9" t="n">
        <v>9342.219999999999</v>
      </c>
      <c r="L592" t="inlineStr">
        <is>
          <t>USD</t>
        </is>
      </c>
      <c r="M592" s="4" t="n">
        <v>9342.219999999999</v>
      </c>
      <c r="N592" t="inlineStr">
        <is>
          <t>Paid</t>
        </is>
      </c>
      <c r="O592" t="inlineStr">
        <is>
          <t>False</t>
        </is>
      </c>
      <c r="P592" t="n">
        <v>45</v>
      </c>
      <c r="Q592">
        <f>VLOOKUP(D592,GL_Accounts!$A$2:$E$1048576,5,FALSE)</f>
        <v/>
      </c>
      <c r="R592">
        <f>VLOOKUP(D592,GL_Accounts!$A$2:$E$1048576,4,FALSE)</f>
        <v/>
      </c>
    </row>
    <row r="593">
      <c r="A593" t="inlineStr">
        <is>
          <t>INV200592</t>
        </is>
      </c>
      <c r="B593" t="n">
        <v>48</v>
      </c>
      <c r="C593" t="inlineStr">
        <is>
          <t>V0048</t>
        </is>
      </c>
      <c r="D593" t="n">
        <v>4</v>
      </c>
      <c r="E593" t="n">
        <v>60200</v>
      </c>
      <c r="F593" t="inlineStr">
        <is>
          <t>PO100445</t>
        </is>
      </c>
      <c r="G593" t="n">
        <v>20250617</v>
      </c>
      <c r="H593" t="inlineStr">
        <is>
          <t>2025-06-17</t>
        </is>
      </c>
      <c r="I593" t="n">
        <v>20250801</v>
      </c>
      <c r="J593" t="inlineStr">
        <is>
          <t>2025-08-01</t>
        </is>
      </c>
      <c r="K593" s="9" t="n">
        <v>13420.56</v>
      </c>
      <c r="L593" t="inlineStr">
        <is>
          <t>USD</t>
        </is>
      </c>
      <c r="M593" s="4" t="n">
        <v>13420.56</v>
      </c>
      <c r="N593" t="inlineStr">
        <is>
          <t>Paid</t>
        </is>
      </c>
      <c r="O593" t="inlineStr">
        <is>
          <t>False</t>
        </is>
      </c>
      <c r="P593" t="n">
        <v>45</v>
      </c>
      <c r="Q593">
        <f>VLOOKUP(D593,GL_Accounts!$A$2:$E$1048576,5,FALSE)</f>
        <v/>
      </c>
      <c r="R593">
        <f>VLOOKUP(D593,GL_Accounts!$A$2:$E$1048576,4,FALSE)</f>
        <v/>
      </c>
    </row>
    <row r="594">
      <c r="A594" t="inlineStr">
        <is>
          <t>INV200593</t>
        </is>
      </c>
      <c r="B594" t="n">
        <v>42</v>
      </c>
      <c r="C594" t="inlineStr">
        <is>
          <t>V0042</t>
        </is>
      </c>
      <c r="D594" t="n">
        <v>8</v>
      </c>
      <c r="E594" t="n">
        <v>61300</v>
      </c>
      <c r="F594" t="inlineStr">
        <is>
          <t>PO100446</t>
        </is>
      </c>
      <c r="G594" t="n">
        <v>20260525</v>
      </c>
      <c r="H594" t="inlineStr">
        <is>
          <t>2026-05-25</t>
        </is>
      </c>
      <c r="I594" t="n">
        <v>20260709</v>
      </c>
      <c r="J594" t="inlineStr">
        <is>
          <t>2026-07-09</t>
        </is>
      </c>
      <c r="K594" s="9" t="n">
        <v>60763.98</v>
      </c>
      <c r="L594" t="inlineStr">
        <is>
          <t>USD</t>
        </is>
      </c>
      <c r="M594" s="4" t="n">
        <v>60763.98</v>
      </c>
      <c r="N594" t="inlineStr">
        <is>
          <t>Paid</t>
        </is>
      </c>
      <c r="O594" t="inlineStr">
        <is>
          <t>False</t>
        </is>
      </c>
      <c r="P594" t="n">
        <v>45</v>
      </c>
      <c r="Q594">
        <f>VLOOKUP(D594,GL_Accounts!$A$2:$E$1048576,5,FALSE)</f>
        <v/>
      </c>
      <c r="R594">
        <f>VLOOKUP(D594,GL_Accounts!$A$2:$E$1048576,4,FALSE)</f>
        <v/>
      </c>
    </row>
    <row r="595">
      <c r="A595" t="inlineStr">
        <is>
          <t>INV200594</t>
        </is>
      </c>
      <c r="B595" t="n">
        <v>28</v>
      </c>
      <c r="C595" t="inlineStr">
        <is>
          <t>V0028</t>
        </is>
      </c>
      <c r="D595" t="n">
        <v>8</v>
      </c>
      <c r="E595" t="n">
        <v>61300</v>
      </c>
      <c r="F595" t="inlineStr">
        <is>
          <t>PO100447</t>
        </is>
      </c>
      <c r="G595" t="n">
        <v>20260207</v>
      </c>
      <c r="H595" t="inlineStr">
        <is>
          <t>2026-02-07</t>
        </is>
      </c>
      <c r="I595" t="n">
        <v>20260408</v>
      </c>
      <c r="J595" t="inlineStr">
        <is>
          <t>2026-04-08</t>
        </is>
      </c>
      <c r="K595" s="9" t="n">
        <v>16085.53</v>
      </c>
      <c r="L595" t="inlineStr">
        <is>
          <t>USD</t>
        </is>
      </c>
      <c r="M595" s="4" t="n">
        <v>16085.53</v>
      </c>
      <c r="N595" t="inlineStr">
        <is>
          <t>Paid</t>
        </is>
      </c>
      <c r="O595" t="inlineStr">
        <is>
          <t>False</t>
        </is>
      </c>
      <c r="P595" t="n">
        <v>60</v>
      </c>
      <c r="Q595">
        <f>VLOOKUP(D595,GL_Accounts!$A$2:$E$1048576,5,FALSE)</f>
        <v/>
      </c>
      <c r="R595">
        <f>VLOOKUP(D595,GL_Accounts!$A$2:$E$1048576,4,FALSE)</f>
        <v/>
      </c>
    </row>
    <row r="596">
      <c r="A596" t="inlineStr">
        <is>
          <t>INV200595</t>
        </is>
      </c>
      <c r="B596" t="n">
        <v>28</v>
      </c>
      <c r="C596" t="inlineStr">
        <is>
          <t>V0028</t>
        </is>
      </c>
      <c r="D596" t="n">
        <v>8</v>
      </c>
      <c r="E596" t="n">
        <v>61300</v>
      </c>
      <c r="F596" t="inlineStr">
        <is>
          <t>PO100447</t>
        </is>
      </c>
      <c r="G596" t="n">
        <v>20260308</v>
      </c>
      <c r="H596" t="inlineStr">
        <is>
          <t>2026-03-08</t>
        </is>
      </c>
      <c r="I596" t="n">
        <v>20260507</v>
      </c>
      <c r="J596" t="inlineStr">
        <is>
          <t>2026-05-07</t>
        </is>
      </c>
      <c r="K596" s="9" t="n">
        <v>4434.38</v>
      </c>
      <c r="L596" t="inlineStr">
        <is>
          <t>USD</t>
        </is>
      </c>
      <c r="M596" s="4" t="n">
        <v>4434.38</v>
      </c>
      <c r="N596" t="inlineStr">
        <is>
          <t>Paid</t>
        </is>
      </c>
      <c r="O596" t="inlineStr">
        <is>
          <t>False</t>
        </is>
      </c>
      <c r="P596" t="n">
        <v>60</v>
      </c>
      <c r="Q596">
        <f>VLOOKUP(D596,GL_Accounts!$A$2:$E$1048576,5,FALSE)</f>
        <v/>
      </c>
      <c r="R596">
        <f>VLOOKUP(D596,GL_Accounts!$A$2:$E$1048576,4,FALSE)</f>
        <v/>
      </c>
    </row>
    <row r="597">
      <c r="A597" t="inlineStr">
        <is>
          <t>INV200596</t>
        </is>
      </c>
      <c r="B597" t="n">
        <v>42</v>
      </c>
      <c r="C597" t="inlineStr">
        <is>
          <t>V0042</t>
        </is>
      </c>
      <c r="D597" t="n">
        <v>16</v>
      </c>
      <c r="E597" t="n">
        <v>63300</v>
      </c>
      <c r="F597" t="inlineStr">
        <is>
          <t>PO100448</t>
        </is>
      </c>
      <c r="G597" t="n">
        <v>20260726</v>
      </c>
      <c r="H597" t="inlineStr">
        <is>
          <t>2026-07-26</t>
        </is>
      </c>
      <c r="I597" t="n">
        <v>20260909</v>
      </c>
      <c r="J597" t="inlineStr">
        <is>
          <t>2026-09-09</t>
        </is>
      </c>
      <c r="K597" s="9" t="n">
        <v>34898.9</v>
      </c>
      <c r="L597" t="inlineStr">
        <is>
          <t>USD</t>
        </is>
      </c>
      <c r="M597" s="4" t="n">
        <v>34898.9</v>
      </c>
      <c r="N597" t="inlineStr">
        <is>
          <t>Unpaid</t>
        </is>
      </c>
      <c r="O597" t="inlineStr">
        <is>
          <t>False</t>
        </is>
      </c>
      <c r="P597" t="n">
        <v>45</v>
      </c>
      <c r="Q597">
        <f>VLOOKUP(D597,GL_Accounts!$A$2:$E$1048576,5,FALSE)</f>
        <v/>
      </c>
      <c r="R597">
        <f>VLOOKUP(D597,GL_Accounts!$A$2:$E$1048576,4,FALSE)</f>
        <v/>
      </c>
    </row>
    <row r="598">
      <c r="A598" t="inlineStr">
        <is>
          <t>INV200597</t>
        </is>
      </c>
      <c r="B598" t="n">
        <v>31</v>
      </c>
      <c r="C598" t="inlineStr">
        <is>
          <t>V0031</t>
        </is>
      </c>
      <c r="D598" t="n">
        <v>4</v>
      </c>
      <c r="E598" t="n">
        <v>60200</v>
      </c>
      <c r="F598" t="inlineStr">
        <is>
          <t>PO100449</t>
        </is>
      </c>
      <c r="G598" t="n">
        <v>20250319</v>
      </c>
      <c r="H598" t="inlineStr">
        <is>
          <t>2025-03-19</t>
        </is>
      </c>
      <c r="I598" t="n">
        <v>20250418</v>
      </c>
      <c r="J598" t="inlineStr">
        <is>
          <t>2025-04-18</t>
        </is>
      </c>
      <c r="K598" s="9" t="n">
        <v>28145.48</v>
      </c>
      <c r="L598" t="inlineStr">
        <is>
          <t>USD</t>
        </is>
      </c>
      <c r="M598" s="4" t="n">
        <v>28145.48</v>
      </c>
      <c r="N598" t="inlineStr">
        <is>
          <t>Paid</t>
        </is>
      </c>
      <c r="O598" t="inlineStr">
        <is>
          <t>False</t>
        </is>
      </c>
      <c r="P598" t="n">
        <v>30</v>
      </c>
      <c r="Q598">
        <f>VLOOKUP(D598,GL_Accounts!$A$2:$E$1048576,5,FALSE)</f>
        <v/>
      </c>
      <c r="R598">
        <f>VLOOKUP(D598,GL_Accounts!$A$2:$E$1048576,4,FALSE)</f>
        <v/>
      </c>
    </row>
    <row r="599">
      <c r="A599" t="inlineStr">
        <is>
          <t>INV200598</t>
        </is>
      </c>
      <c r="B599" t="n">
        <v>24</v>
      </c>
      <c r="C599" t="inlineStr">
        <is>
          <t>V0024</t>
        </is>
      </c>
      <c r="D599" t="n">
        <v>18</v>
      </c>
      <c r="E599" t="n">
        <v>64200</v>
      </c>
      <c r="F599" t="inlineStr">
        <is>
          <t>PO100450</t>
        </is>
      </c>
      <c r="G599" t="n">
        <v>20250320</v>
      </c>
      <c r="H599" t="inlineStr">
        <is>
          <t>2025-03-20</t>
        </is>
      </c>
      <c r="I599" t="n">
        <v>20250404</v>
      </c>
      <c r="J599" t="inlineStr">
        <is>
          <t>2025-04-04</t>
        </is>
      </c>
      <c r="K599" s="9" t="n">
        <v>3500.28</v>
      </c>
      <c r="L599" t="inlineStr">
        <is>
          <t>USD</t>
        </is>
      </c>
      <c r="M599" s="4" t="n">
        <v>3500.28</v>
      </c>
      <c r="N599" t="inlineStr">
        <is>
          <t>Paid</t>
        </is>
      </c>
      <c r="O599" t="inlineStr">
        <is>
          <t>False</t>
        </is>
      </c>
      <c r="P599" t="n">
        <v>15</v>
      </c>
      <c r="Q599">
        <f>VLOOKUP(D599,GL_Accounts!$A$2:$E$1048576,5,FALSE)</f>
        <v/>
      </c>
      <c r="R599">
        <f>VLOOKUP(D599,GL_Accounts!$A$2:$E$1048576,4,FALSE)</f>
        <v/>
      </c>
    </row>
    <row r="600">
      <c r="A600" t="inlineStr">
        <is>
          <t>INV200599</t>
        </is>
      </c>
      <c r="B600" t="n">
        <v>24</v>
      </c>
      <c r="C600" t="inlineStr">
        <is>
          <t>V0024</t>
        </is>
      </c>
      <c r="D600" t="n">
        <v>18</v>
      </c>
      <c r="E600" t="n">
        <v>64200</v>
      </c>
      <c r="F600" t="inlineStr">
        <is>
          <t>PO100450</t>
        </is>
      </c>
      <c r="G600" t="n">
        <v>20250323</v>
      </c>
      <c r="H600" t="inlineStr">
        <is>
          <t>2025-03-23</t>
        </is>
      </c>
      <c r="I600" t="n">
        <v>20250407</v>
      </c>
      <c r="J600" t="inlineStr">
        <is>
          <t>2025-04-07</t>
        </is>
      </c>
      <c r="K600" s="9" t="n">
        <v>5982.2</v>
      </c>
      <c r="L600" t="inlineStr">
        <is>
          <t>USD</t>
        </is>
      </c>
      <c r="M600" s="4" t="n">
        <v>5982.2</v>
      </c>
      <c r="N600" t="inlineStr">
        <is>
          <t>Paid</t>
        </is>
      </c>
      <c r="O600" t="inlineStr">
        <is>
          <t>False</t>
        </is>
      </c>
      <c r="P600" t="n">
        <v>15</v>
      </c>
      <c r="Q600">
        <f>VLOOKUP(D600,GL_Accounts!$A$2:$E$1048576,5,FALSE)</f>
        <v/>
      </c>
      <c r="R600">
        <f>VLOOKUP(D600,GL_Accounts!$A$2:$E$1048576,4,FALSE)</f>
        <v/>
      </c>
    </row>
    <row r="601">
      <c r="A601" t="inlineStr">
        <is>
          <t>INV200600</t>
        </is>
      </c>
      <c r="B601" t="n">
        <v>18</v>
      </c>
      <c r="C601" t="inlineStr">
        <is>
          <t>V0018</t>
        </is>
      </c>
      <c r="D601" t="n">
        <v>12</v>
      </c>
      <c r="E601" t="n">
        <v>62300</v>
      </c>
      <c r="F601" t="inlineStr">
        <is>
          <t>PO100451</t>
        </is>
      </c>
      <c r="G601" t="n">
        <v>20250814</v>
      </c>
      <c r="H601" t="inlineStr">
        <is>
          <t>2025-08-14</t>
        </is>
      </c>
      <c r="I601" t="n">
        <v>20250913</v>
      </c>
      <c r="J601" t="inlineStr">
        <is>
          <t>2025-09-13</t>
        </is>
      </c>
      <c r="K601" s="9" t="n">
        <v>1073.31</v>
      </c>
      <c r="L601" t="inlineStr">
        <is>
          <t>USD</t>
        </is>
      </c>
      <c r="M601" s="4" t="n">
        <v>1073.31</v>
      </c>
      <c r="N601" t="inlineStr">
        <is>
          <t>Paid</t>
        </is>
      </c>
      <c r="O601" t="inlineStr">
        <is>
          <t>False</t>
        </is>
      </c>
      <c r="P601" t="n">
        <v>30</v>
      </c>
      <c r="Q601">
        <f>VLOOKUP(D601,GL_Accounts!$A$2:$E$1048576,5,FALSE)</f>
        <v/>
      </c>
      <c r="R601">
        <f>VLOOKUP(D601,GL_Accounts!$A$2:$E$1048576,4,FALSE)</f>
        <v/>
      </c>
    </row>
    <row r="602">
      <c r="A602" t="inlineStr">
        <is>
          <t>INV200601</t>
        </is>
      </c>
      <c r="B602" t="n">
        <v>18</v>
      </c>
      <c r="C602" t="inlineStr">
        <is>
          <t>V0018</t>
        </is>
      </c>
      <c r="D602" t="n">
        <v>10</v>
      </c>
      <c r="E602" t="n">
        <v>62100</v>
      </c>
      <c r="F602" t="inlineStr">
        <is>
          <t>PO100451</t>
        </is>
      </c>
      <c r="G602" t="n">
        <v>20250910</v>
      </c>
      <c r="H602" t="inlineStr">
        <is>
          <t>2025-09-10</t>
        </is>
      </c>
      <c r="I602" t="n">
        <v>20251010</v>
      </c>
      <c r="J602" t="inlineStr">
        <is>
          <t>2025-10-10</t>
        </is>
      </c>
      <c r="K602" s="9" t="n">
        <v>418.96</v>
      </c>
      <c r="L602" t="inlineStr">
        <is>
          <t>USD</t>
        </is>
      </c>
      <c r="M602" s="4" t="n">
        <v>418.96</v>
      </c>
      <c r="N602" t="inlineStr">
        <is>
          <t>Paid</t>
        </is>
      </c>
      <c r="O602" t="inlineStr">
        <is>
          <t>False</t>
        </is>
      </c>
      <c r="P602" t="n">
        <v>30</v>
      </c>
      <c r="Q602">
        <f>VLOOKUP(D602,GL_Accounts!$A$2:$E$1048576,5,FALSE)</f>
        <v/>
      </c>
      <c r="R602">
        <f>VLOOKUP(D602,GL_Accounts!$A$2:$E$1048576,4,FALSE)</f>
        <v/>
      </c>
    </row>
    <row r="603">
      <c r="A603" t="inlineStr">
        <is>
          <t>INV200602</t>
        </is>
      </c>
      <c r="B603" t="n">
        <v>18</v>
      </c>
      <c r="C603" t="inlineStr">
        <is>
          <t>V0018</t>
        </is>
      </c>
      <c r="D603" t="n">
        <v>13</v>
      </c>
      <c r="E603" t="n">
        <v>62400</v>
      </c>
      <c r="F603" t="inlineStr">
        <is>
          <t>PO100451</t>
        </is>
      </c>
      <c r="G603" t="n">
        <v>20251015</v>
      </c>
      <c r="H603" t="inlineStr">
        <is>
          <t>2025-10-15</t>
        </is>
      </c>
      <c r="I603" t="n">
        <v>20251114</v>
      </c>
      <c r="J603" t="inlineStr">
        <is>
          <t>2025-11-14</t>
        </is>
      </c>
      <c r="K603" s="9" t="n">
        <v>2296.92</v>
      </c>
      <c r="L603" t="inlineStr">
        <is>
          <t>USD</t>
        </is>
      </c>
      <c r="M603" s="4" t="n">
        <v>2296.92</v>
      </c>
      <c r="N603" t="inlineStr">
        <is>
          <t>Paid</t>
        </is>
      </c>
      <c r="O603" t="inlineStr">
        <is>
          <t>False</t>
        </is>
      </c>
      <c r="P603" t="n">
        <v>30</v>
      </c>
      <c r="Q603">
        <f>VLOOKUP(D603,GL_Accounts!$A$2:$E$1048576,5,FALSE)</f>
        <v/>
      </c>
      <c r="R603">
        <f>VLOOKUP(D603,GL_Accounts!$A$2:$E$1048576,4,FALSE)</f>
        <v/>
      </c>
    </row>
    <row r="604">
      <c r="A604" t="inlineStr">
        <is>
          <t>INV200603</t>
        </is>
      </c>
      <c r="B604" t="n">
        <v>34</v>
      </c>
      <c r="C604" t="inlineStr">
        <is>
          <t>V0034</t>
        </is>
      </c>
      <c r="D604" t="n">
        <v>15</v>
      </c>
      <c r="E604" t="n">
        <v>63200</v>
      </c>
      <c r="F604" t="inlineStr">
        <is>
          <t>PO100454</t>
        </is>
      </c>
      <c r="G604" t="n">
        <v>20250730</v>
      </c>
      <c r="H604" t="inlineStr">
        <is>
          <t>2025-07-30</t>
        </is>
      </c>
      <c r="I604" t="n">
        <v>20250814</v>
      </c>
      <c r="J604" t="inlineStr">
        <is>
          <t>2025-08-14</t>
        </is>
      </c>
      <c r="K604" s="9" t="n">
        <v>565.76</v>
      </c>
      <c r="L604" t="inlineStr">
        <is>
          <t>EUR</t>
        </is>
      </c>
      <c r="M604" s="4" t="n">
        <v>611.02</v>
      </c>
      <c r="N604" t="inlineStr">
        <is>
          <t>Paid</t>
        </is>
      </c>
      <c r="O604" t="inlineStr">
        <is>
          <t>False</t>
        </is>
      </c>
      <c r="P604" t="n">
        <v>15</v>
      </c>
      <c r="Q604">
        <f>VLOOKUP(D604,GL_Accounts!$A$2:$E$1048576,5,FALSE)</f>
        <v/>
      </c>
      <c r="R604">
        <f>VLOOKUP(D604,GL_Accounts!$A$2:$E$1048576,4,FALSE)</f>
        <v/>
      </c>
    </row>
    <row r="605">
      <c r="A605" t="inlineStr">
        <is>
          <t>INV200604</t>
        </is>
      </c>
      <c r="B605" t="n">
        <v>48</v>
      </c>
      <c r="C605" t="inlineStr">
        <is>
          <t>V0048</t>
        </is>
      </c>
      <c r="D605" t="n">
        <v>3</v>
      </c>
      <c r="E605" t="n">
        <v>60120</v>
      </c>
      <c r="F605" t="inlineStr">
        <is>
          <t>PO100455</t>
        </is>
      </c>
      <c r="G605" t="n">
        <v>20251208</v>
      </c>
      <c r="H605" t="inlineStr">
        <is>
          <t>2025-12-08</t>
        </is>
      </c>
      <c r="I605" t="n">
        <v>20260122</v>
      </c>
      <c r="J605" t="inlineStr">
        <is>
          <t>2026-01-22</t>
        </is>
      </c>
      <c r="K605" s="9" t="n">
        <v>17278.07</v>
      </c>
      <c r="L605" t="inlineStr">
        <is>
          <t>USD</t>
        </is>
      </c>
      <c r="M605" s="4" t="n">
        <v>17278.07</v>
      </c>
      <c r="N605" t="inlineStr">
        <is>
          <t>Paid</t>
        </is>
      </c>
      <c r="O605" t="inlineStr">
        <is>
          <t>False</t>
        </is>
      </c>
      <c r="P605" t="n">
        <v>45</v>
      </c>
      <c r="Q605">
        <f>VLOOKUP(D605,GL_Accounts!$A$2:$E$1048576,5,FALSE)</f>
        <v/>
      </c>
      <c r="R605">
        <f>VLOOKUP(D605,GL_Accounts!$A$2:$E$1048576,4,FALSE)</f>
        <v/>
      </c>
    </row>
    <row r="606">
      <c r="A606" t="inlineStr">
        <is>
          <t>INV200605</t>
        </is>
      </c>
      <c r="B606" t="n">
        <v>32</v>
      </c>
      <c r="C606" t="inlineStr">
        <is>
          <t>V0032</t>
        </is>
      </c>
      <c r="D606" t="n">
        <v>9</v>
      </c>
      <c r="E606" t="n">
        <v>61400</v>
      </c>
      <c r="F606" t="inlineStr">
        <is>
          <t>PO100457</t>
        </is>
      </c>
      <c r="G606" t="n">
        <v>20250718</v>
      </c>
      <c r="H606" t="inlineStr">
        <is>
          <t>2025-07-18</t>
        </is>
      </c>
      <c r="I606" t="n">
        <v>20250901</v>
      </c>
      <c r="J606" t="inlineStr">
        <is>
          <t>2025-09-01</t>
        </is>
      </c>
      <c r="K606" s="9" t="n">
        <v>2130</v>
      </c>
      <c r="L606" t="inlineStr">
        <is>
          <t>USD</t>
        </is>
      </c>
      <c r="M606" s="4" t="n">
        <v>2130</v>
      </c>
      <c r="N606" t="inlineStr">
        <is>
          <t>Paid</t>
        </is>
      </c>
      <c r="O606" t="inlineStr">
        <is>
          <t>False</t>
        </is>
      </c>
      <c r="P606" t="n">
        <v>45</v>
      </c>
      <c r="Q606">
        <f>VLOOKUP(D606,GL_Accounts!$A$2:$E$1048576,5,FALSE)</f>
        <v/>
      </c>
      <c r="R606">
        <f>VLOOKUP(D606,GL_Accounts!$A$2:$E$1048576,4,FALSE)</f>
        <v/>
      </c>
    </row>
    <row r="607">
      <c r="A607" t="inlineStr">
        <is>
          <t>INV200606</t>
        </is>
      </c>
      <c r="B607" t="n">
        <v>9</v>
      </c>
      <c r="C607" t="inlineStr">
        <is>
          <t>V0009</t>
        </is>
      </c>
      <c r="D607" t="n">
        <v>8</v>
      </c>
      <c r="E607" t="n">
        <v>61300</v>
      </c>
      <c r="F607" t="inlineStr">
        <is>
          <t>PO100458</t>
        </is>
      </c>
      <c r="G607" t="n">
        <v>20250505</v>
      </c>
      <c r="H607" t="inlineStr">
        <is>
          <t>2025-05-05</t>
        </is>
      </c>
      <c r="I607" t="n">
        <v>20250520</v>
      </c>
      <c r="J607" t="inlineStr">
        <is>
          <t>2025-05-20</t>
        </is>
      </c>
      <c r="K607" s="9" t="n">
        <v>2409.48</v>
      </c>
      <c r="L607" t="inlineStr">
        <is>
          <t>USD</t>
        </is>
      </c>
      <c r="M607" s="4" t="n">
        <v>2409.48</v>
      </c>
      <c r="N607" t="inlineStr">
        <is>
          <t>Paid</t>
        </is>
      </c>
      <c r="O607" t="inlineStr">
        <is>
          <t>False</t>
        </is>
      </c>
      <c r="P607" t="n">
        <v>15</v>
      </c>
      <c r="Q607">
        <f>VLOOKUP(D607,GL_Accounts!$A$2:$E$1048576,5,FALSE)</f>
        <v/>
      </c>
      <c r="R607">
        <f>VLOOKUP(D607,GL_Accounts!$A$2:$E$1048576,4,FALSE)</f>
        <v/>
      </c>
    </row>
    <row r="608">
      <c r="A608" t="inlineStr">
        <is>
          <t>INV200607</t>
        </is>
      </c>
      <c r="B608" t="n">
        <v>40</v>
      </c>
      <c r="C608" t="inlineStr">
        <is>
          <t>V0040</t>
        </is>
      </c>
      <c r="D608" t="n">
        <v>11</v>
      </c>
      <c r="E608" t="n">
        <v>62200</v>
      </c>
      <c r="F608" t="inlineStr">
        <is>
          <t>PO100459</t>
        </is>
      </c>
      <c r="G608" t="n">
        <v>20250511</v>
      </c>
      <c r="H608" t="inlineStr">
        <is>
          <t>2025-05-11</t>
        </is>
      </c>
      <c r="I608" t="n">
        <v>20250610</v>
      </c>
      <c r="J608" t="inlineStr">
        <is>
          <t>2025-06-10</t>
        </is>
      </c>
      <c r="K608" s="9" t="n">
        <v>2133.52</v>
      </c>
      <c r="L608" t="inlineStr">
        <is>
          <t>USD</t>
        </is>
      </c>
      <c r="M608" s="4" t="n">
        <v>2133.52</v>
      </c>
      <c r="N608" t="inlineStr">
        <is>
          <t>Paid</t>
        </is>
      </c>
      <c r="O608" t="inlineStr">
        <is>
          <t>False</t>
        </is>
      </c>
      <c r="P608" t="n">
        <v>30</v>
      </c>
      <c r="Q608">
        <f>VLOOKUP(D608,GL_Accounts!$A$2:$E$1048576,5,FALSE)</f>
        <v/>
      </c>
      <c r="R608">
        <f>VLOOKUP(D608,GL_Accounts!$A$2:$E$1048576,4,FALSE)</f>
        <v/>
      </c>
    </row>
    <row r="609">
      <c r="A609" t="inlineStr">
        <is>
          <t>INV200608</t>
        </is>
      </c>
      <c r="B609" t="n">
        <v>62</v>
      </c>
      <c r="C609" t="inlineStr">
        <is>
          <t>V0002</t>
        </is>
      </c>
      <c r="D609" t="n">
        <v>13</v>
      </c>
      <c r="E609" t="n">
        <v>62400</v>
      </c>
      <c r="F609" t="inlineStr">
        <is>
          <t>PO100460</t>
        </is>
      </c>
      <c r="G609" t="n">
        <v>20260728</v>
      </c>
      <c r="H609" t="inlineStr">
        <is>
          <t>2026-07-28</t>
        </is>
      </c>
      <c r="I609" t="n">
        <v>20260827</v>
      </c>
      <c r="J609" t="inlineStr">
        <is>
          <t>2026-08-27</t>
        </is>
      </c>
      <c r="K609" s="9" t="n">
        <v>2872.13</v>
      </c>
      <c r="L609" t="inlineStr">
        <is>
          <t>USD</t>
        </is>
      </c>
      <c r="M609" s="4" t="n">
        <v>2872.13</v>
      </c>
      <c r="N609" t="inlineStr">
        <is>
          <t>Unpaid</t>
        </is>
      </c>
      <c r="O609" t="inlineStr">
        <is>
          <t>False</t>
        </is>
      </c>
      <c r="P609" t="n">
        <v>30</v>
      </c>
      <c r="Q609">
        <f>VLOOKUP(D609,GL_Accounts!$A$2:$E$1048576,5,FALSE)</f>
        <v/>
      </c>
      <c r="R609">
        <f>VLOOKUP(D609,GL_Accounts!$A$2:$E$1048576,4,FALSE)</f>
        <v/>
      </c>
    </row>
    <row r="610">
      <c r="A610" t="inlineStr">
        <is>
          <t>INV200609</t>
        </is>
      </c>
      <c r="B610" t="n">
        <v>9</v>
      </c>
      <c r="C610" t="inlineStr">
        <is>
          <t>V0009</t>
        </is>
      </c>
      <c r="D610" t="n">
        <v>9</v>
      </c>
      <c r="E610" t="n">
        <v>61400</v>
      </c>
      <c r="F610" t="inlineStr">
        <is>
          <t>PO100461</t>
        </is>
      </c>
      <c r="G610" t="n">
        <v>20241214</v>
      </c>
      <c r="H610" t="inlineStr">
        <is>
          <t>2024-12-14</t>
        </is>
      </c>
      <c r="I610" t="n">
        <v>20241229</v>
      </c>
      <c r="J610" t="inlineStr">
        <is>
          <t>2024-12-29</t>
        </is>
      </c>
      <c r="K610" s="9" t="n">
        <v>998.08</v>
      </c>
      <c r="L610" t="inlineStr">
        <is>
          <t>USD</t>
        </is>
      </c>
      <c r="M610" s="4" t="n">
        <v>998.08</v>
      </c>
      <c r="N610" t="inlineStr">
        <is>
          <t>Paid</t>
        </is>
      </c>
      <c r="O610" t="inlineStr">
        <is>
          <t>False</t>
        </is>
      </c>
      <c r="P610" t="n">
        <v>15</v>
      </c>
      <c r="Q610">
        <f>VLOOKUP(D610,GL_Accounts!$A$2:$E$1048576,5,FALSE)</f>
        <v/>
      </c>
      <c r="R610">
        <f>VLOOKUP(D610,GL_Accounts!$A$2:$E$1048576,4,FALSE)</f>
        <v/>
      </c>
    </row>
    <row r="611">
      <c r="A611" t="inlineStr">
        <is>
          <t>INV200610</t>
        </is>
      </c>
      <c r="B611" t="n">
        <v>9</v>
      </c>
      <c r="C611" t="inlineStr">
        <is>
          <t>V0009</t>
        </is>
      </c>
      <c r="D611" t="n">
        <v>7</v>
      </c>
      <c r="E611" t="n">
        <v>61200</v>
      </c>
      <c r="F611" t="inlineStr">
        <is>
          <t>PO100461</t>
        </is>
      </c>
      <c r="G611" t="n">
        <v>20241223</v>
      </c>
      <c r="H611" t="inlineStr">
        <is>
          <t>2024-12-23</t>
        </is>
      </c>
      <c r="I611" t="n">
        <v>20250107</v>
      </c>
      <c r="J611" t="inlineStr">
        <is>
          <t>2025-01-07</t>
        </is>
      </c>
      <c r="K611" s="9" t="n">
        <v>988.34</v>
      </c>
      <c r="L611" t="inlineStr">
        <is>
          <t>USD</t>
        </is>
      </c>
      <c r="M611" s="4" t="n">
        <v>988.34</v>
      </c>
      <c r="N611" t="inlineStr">
        <is>
          <t>Paid</t>
        </is>
      </c>
      <c r="O611" t="inlineStr">
        <is>
          <t>False</t>
        </is>
      </c>
      <c r="P611" t="n">
        <v>15</v>
      </c>
      <c r="Q611">
        <f>VLOOKUP(D611,GL_Accounts!$A$2:$E$1048576,5,FALSE)</f>
        <v/>
      </c>
      <c r="R611">
        <f>VLOOKUP(D611,GL_Accounts!$A$2:$E$1048576,4,FALSE)</f>
        <v/>
      </c>
    </row>
    <row r="612">
      <c r="A612" t="inlineStr">
        <is>
          <t>INV200611</t>
        </is>
      </c>
      <c r="B612" t="n">
        <v>9</v>
      </c>
      <c r="C612" t="inlineStr">
        <is>
          <t>V0009</t>
        </is>
      </c>
      <c r="D612" t="n">
        <v>6</v>
      </c>
      <c r="E612" t="n">
        <v>61100</v>
      </c>
      <c r="F612" t="inlineStr">
        <is>
          <t>PO100461</t>
        </is>
      </c>
      <c r="G612" t="n">
        <v>20250106</v>
      </c>
      <c r="H612" t="inlineStr">
        <is>
          <t>2025-01-06</t>
        </is>
      </c>
      <c r="I612" t="n">
        <v>20250121</v>
      </c>
      <c r="J612" t="inlineStr">
        <is>
          <t>2025-01-21</t>
        </is>
      </c>
      <c r="K612" s="9" t="n">
        <v>2646.09</v>
      </c>
      <c r="L612" t="inlineStr">
        <is>
          <t>USD</t>
        </is>
      </c>
      <c r="M612" s="4" t="n">
        <v>2646.09</v>
      </c>
      <c r="N612" t="inlineStr">
        <is>
          <t>Paid</t>
        </is>
      </c>
      <c r="O612" t="inlineStr">
        <is>
          <t>False</t>
        </is>
      </c>
      <c r="P612" t="n">
        <v>15</v>
      </c>
      <c r="Q612">
        <f>VLOOKUP(D612,GL_Accounts!$A$2:$E$1048576,5,FALSE)</f>
        <v/>
      </c>
      <c r="R612">
        <f>VLOOKUP(D612,GL_Accounts!$A$2:$E$1048576,4,FALSE)</f>
        <v/>
      </c>
    </row>
    <row r="613">
      <c r="A613" t="inlineStr">
        <is>
          <t>INV200612</t>
        </is>
      </c>
      <c r="B613" t="n">
        <v>47</v>
      </c>
      <c r="C613" t="inlineStr">
        <is>
          <t>V0047</t>
        </is>
      </c>
      <c r="D613" t="n">
        <v>20</v>
      </c>
      <c r="E613" t="n">
        <v>65100</v>
      </c>
      <c r="F613" t="inlineStr">
        <is>
          <t>PO100462</t>
        </is>
      </c>
      <c r="G613" t="n">
        <v>20240930</v>
      </c>
      <c r="H613" t="inlineStr">
        <is>
          <t>2024-09-30</t>
        </is>
      </c>
      <c r="I613" t="n">
        <v>20241030</v>
      </c>
      <c r="J613" t="inlineStr">
        <is>
          <t>2024-10-30</t>
        </is>
      </c>
      <c r="K613" s="9" t="n">
        <v>1002.22</v>
      </c>
      <c r="L613" t="inlineStr">
        <is>
          <t>USD</t>
        </is>
      </c>
      <c r="M613" s="4" t="n">
        <v>1002.22</v>
      </c>
      <c r="N613" t="inlineStr">
        <is>
          <t>Paid</t>
        </is>
      </c>
      <c r="O613" t="inlineStr">
        <is>
          <t>False</t>
        </is>
      </c>
      <c r="P613" t="n">
        <v>30</v>
      </c>
      <c r="Q613">
        <f>VLOOKUP(D613,GL_Accounts!$A$2:$E$1048576,5,FALSE)</f>
        <v/>
      </c>
      <c r="R613">
        <f>VLOOKUP(D613,GL_Accounts!$A$2:$E$1048576,4,FALSE)</f>
        <v/>
      </c>
    </row>
    <row r="614">
      <c r="A614" t="inlineStr">
        <is>
          <t>INV200613</t>
        </is>
      </c>
      <c r="B614" t="n">
        <v>17</v>
      </c>
      <c r="C614" t="inlineStr">
        <is>
          <t>V0017</t>
        </is>
      </c>
      <c r="D614" t="n">
        <v>7</v>
      </c>
      <c r="E614" t="n">
        <v>61200</v>
      </c>
      <c r="F614" t="inlineStr">
        <is>
          <t>PO100463</t>
        </is>
      </c>
      <c r="G614" t="n">
        <v>20251212</v>
      </c>
      <c r="H614" t="inlineStr">
        <is>
          <t>2025-12-12</t>
        </is>
      </c>
      <c r="I614" t="n">
        <v>20260126</v>
      </c>
      <c r="J614" t="inlineStr">
        <is>
          <t>2026-01-26</t>
        </is>
      </c>
      <c r="K614" s="9" t="n">
        <v>9162.51</v>
      </c>
      <c r="L614" t="inlineStr">
        <is>
          <t>USD</t>
        </is>
      </c>
      <c r="M614" s="4" t="n">
        <v>9162.51</v>
      </c>
      <c r="N614" t="inlineStr">
        <is>
          <t>Paid</t>
        </is>
      </c>
      <c r="O614" t="inlineStr">
        <is>
          <t>False</t>
        </is>
      </c>
      <c r="P614" t="n">
        <v>45</v>
      </c>
      <c r="Q614">
        <f>VLOOKUP(D614,GL_Accounts!$A$2:$E$1048576,5,FALSE)</f>
        <v/>
      </c>
      <c r="R614">
        <f>VLOOKUP(D614,GL_Accounts!$A$2:$E$1048576,4,FALSE)</f>
        <v/>
      </c>
    </row>
    <row r="615">
      <c r="A615" t="inlineStr">
        <is>
          <t>INV200614</t>
        </is>
      </c>
      <c r="B615" t="n">
        <v>22</v>
      </c>
      <c r="C615" t="inlineStr">
        <is>
          <t>V0022</t>
        </is>
      </c>
      <c r="D615" t="n">
        <v>6</v>
      </c>
      <c r="E615" t="n">
        <v>61100</v>
      </c>
      <c r="F615" t="inlineStr">
        <is>
          <t>PO100464</t>
        </is>
      </c>
      <c r="G615" t="n">
        <v>20251009</v>
      </c>
      <c r="H615" t="inlineStr">
        <is>
          <t>2025-10-09</t>
        </is>
      </c>
      <c r="I615" t="n">
        <v>20251108</v>
      </c>
      <c r="J615" t="inlineStr">
        <is>
          <t>2025-11-08</t>
        </is>
      </c>
      <c r="K615" s="9" t="n">
        <v>28963.95</v>
      </c>
      <c r="L615" t="inlineStr">
        <is>
          <t>USD</t>
        </is>
      </c>
      <c r="M615" s="4" t="n">
        <v>28963.95</v>
      </c>
      <c r="N615" t="inlineStr">
        <is>
          <t>Paid</t>
        </is>
      </c>
      <c r="O615" t="inlineStr">
        <is>
          <t>False</t>
        </is>
      </c>
      <c r="P615" t="n">
        <v>30</v>
      </c>
      <c r="Q615">
        <f>VLOOKUP(D615,GL_Accounts!$A$2:$E$1048576,5,FALSE)</f>
        <v/>
      </c>
      <c r="R615">
        <f>VLOOKUP(D615,GL_Accounts!$A$2:$E$1048576,4,FALSE)</f>
        <v/>
      </c>
    </row>
    <row r="616">
      <c r="A616" t="inlineStr">
        <is>
          <t>INV200615</t>
        </is>
      </c>
      <c r="B616" t="n">
        <v>27</v>
      </c>
      <c r="C616" t="inlineStr">
        <is>
          <t>V0027</t>
        </is>
      </c>
      <c r="D616" t="n">
        <v>7</v>
      </c>
      <c r="E616" t="n">
        <v>61200</v>
      </c>
      <c r="F616" t="inlineStr">
        <is>
          <t>PO100465</t>
        </is>
      </c>
      <c r="G616" t="n">
        <v>20250426</v>
      </c>
      <c r="H616" t="inlineStr">
        <is>
          <t>2025-04-26</t>
        </is>
      </c>
      <c r="I616" t="n">
        <v>20250526</v>
      </c>
      <c r="J616" t="inlineStr">
        <is>
          <t>2025-05-26</t>
        </is>
      </c>
      <c r="K616" s="9" t="n">
        <v>2041.21</v>
      </c>
      <c r="L616" t="inlineStr">
        <is>
          <t>USD</t>
        </is>
      </c>
      <c r="M616" s="4" t="n">
        <v>2041.21</v>
      </c>
      <c r="N616" t="inlineStr">
        <is>
          <t>Paid</t>
        </is>
      </c>
      <c r="O616" t="inlineStr">
        <is>
          <t>False</t>
        </is>
      </c>
      <c r="P616" t="n">
        <v>30</v>
      </c>
      <c r="Q616">
        <f>VLOOKUP(D616,GL_Accounts!$A$2:$E$1048576,5,FALSE)</f>
        <v/>
      </c>
      <c r="R616">
        <f>VLOOKUP(D616,GL_Accounts!$A$2:$E$1048576,4,FALSE)</f>
        <v/>
      </c>
    </row>
    <row r="617">
      <c r="A617" t="inlineStr">
        <is>
          <t>INV200616</t>
        </is>
      </c>
      <c r="B617" t="n">
        <v>27</v>
      </c>
      <c r="C617" t="inlineStr">
        <is>
          <t>V0027</t>
        </is>
      </c>
      <c r="D617" t="n">
        <v>6</v>
      </c>
      <c r="E617" t="n">
        <v>61100</v>
      </c>
      <c r="F617" t="inlineStr">
        <is>
          <t>PO100465</t>
        </is>
      </c>
      <c r="G617" t="n">
        <v>20250606</v>
      </c>
      <c r="H617" t="inlineStr">
        <is>
          <t>2025-06-06</t>
        </is>
      </c>
      <c r="I617" t="n">
        <v>20250706</v>
      </c>
      <c r="J617" t="inlineStr">
        <is>
          <t>2025-07-06</t>
        </is>
      </c>
      <c r="K617" s="9" t="n">
        <v>1060.98</v>
      </c>
      <c r="L617" t="inlineStr">
        <is>
          <t>USD</t>
        </is>
      </c>
      <c r="M617" s="4" t="n">
        <v>1060.98</v>
      </c>
      <c r="N617" t="inlineStr">
        <is>
          <t>Paid</t>
        </is>
      </c>
      <c r="O617" t="inlineStr">
        <is>
          <t>False</t>
        </is>
      </c>
      <c r="P617" t="n">
        <v>30</v>
      </c>
      <c r="Q617">
        <f>VLOOKUP(D617,GL_Accounts!$A$2:$E$1048576,5,FALSE)</f>
        <v/>
      </c>
      <c r="R617">
        <f>VLOOKUP(D617,GL_Accounts!$A$2:$E$1048576,4,FALSE)</f>
        <v/>
      </c>
    </row>
    <row r="618">
      <c r="A618" t="inlineStr">
        <is>
          <t>INV200617</t>
        </is>
      </c>
      <c r="B618" t="n">
        <v>27</v>
      </c>
      <c r="C618" t="inlineStr">
        <is>
          <t>V0027</t>
        </is>
      </c>
      <c r="D618" t="n">
        <v>6</v>
      </c>
      <c r="E618" t="n">
        <v>61100</v>
      </c>
      <c r="F618" t="inlineStr">
        <is>
          <t>PO100465</t>
        </is>
      </c>
      <c r="G618" t="n">
        <v>20250605</v>
      </c>
      <c r="H618" t="inlineStr">
        <is>
          <t>2025-06-05</t>
        </is>
      </c>
      <c r="I618" t="n">
        <v>20250705</v>
      </c>
      <c r="J618" t="inlineStr">
        <is>
          <t>2025-07-05</t>
        </is>
      </c>
      <c r="K618" s="9" t="n">
        <v>5764.46</v>
      </c>
      <c r="L618" t="inlineStr">
        <is>
          <t>USD</t>
        </is>
      </c>
      <c r="M618" s="4" t="n">
        <v>5764.46</v>
      </c>
      <c r="N618" t="inlineStr">
        <is>
          <t>Paid</t>
        </is>
      </c>
      <c r="O618" t="inlineStr">
        <is>
          <t>False</t>
        </is>
      </c>
      <c r="P618" t="n">
        <v>30</v>
      </c>
      <c r="Q618">
        <f>VLOOKUP(D618,GL_Accounts!$A$2:$E$1048576,5,FALSE)</f>
        <v/>
      </c>
      <c r="R618">
        <f>VLOOKUP(D618,GL_Accounts!$A$2:$E$1048576,4,FALSE)</f>
        <v/>
      </c>
    </row>
    <row r="619">
      <c r="A619" t="inlineStr">
        <is>
          <t>INV200618</t>
        </is>
      </c>
      <c r="B619" t="n">
        <v>27</v>
      </c>
      <c r="C619" t="inlineStr">
        <is>
          <t>V0027</t>
        </is>
      </c>
      <c r="D619" t="n">
        <v>7</v>
      </c>
      <c r="E619" t="n">
        <v>61200</v>
      </c>
      <c r="F619" t="inlineStr">
        <is>
          <t>PO100466</t>
        </is>
      </c>
      <c r="G619" t="n">
        <v>20260211</v>
      </c>
      <c r="H619" t="inlineStr">
        <is>
          <t>2026-02-11</t>
        </is>
      </c>
      <c r="I619" t="n">
        <v>20260313</v>
      </c>
      <c r="J619" t="inlineStr">
        <is>
          <t>2026-03-13</t>
        </is>
      </c>
      <c r="K619" s="9" t="n">
        <v>951.76</v>
      </c>
      <c r="L619" t="inlineStr">
        <is>
          <t>USD</t>
        </is>
      </c>
      <c r="M619" s="4" t="n">
        <v>951.76</v>
      </c>
      <c r="N619" t="inlineStr">
        <is>
          <t>Paid</t>
        </is>
      </c>
      <c r="O619" t="inlineStr">
        <is>
          <t>False</t>
        </is>
      </c>
      <c r="P619" t="n">
        <v>30</v>
      </c>
      <c r="Q619">
        <f>VLOOKUP(D619,GL_Accounts!$A$2:$E$1048576,5,FALSE)</f>
        <v/>
      </c>
      <c r="R619">
        <f>VLOOKUP(D619,GL_Accounts!$A$2:$E$1048576,4,FALSE)</f>
        <v/>
      </c>
    </row>
    <row r="620">
      <c r="A620" t="inlineStr">
        <is>
          <t>INV200619</t>
        </is>
      </c>
      <c r="B620" t="n">
        <v>27</v>
      </c>
      <c r="C620" t="inlineStr">
        <is>
          <t>V0027</t>
        </is>
      </c>
      <c r="D620" t="n">
        <v>8</v>
      </c>
      <c r="E620" t="n">
        <v>61300</v>
      </c>
      <c r="F620" t="inlineStr">
        <is>
          <t>PO100466</t>
        </is>
      </c>
      <c r="G620" t="n">
        <v>20260228</v>
      </c>
      <c r="H620" t="inlineStr">
        <is>
          <t>2026-02-28</t>
        </is>
      </c>
      <c r="I620" t="n">
        <v>20260330</v>
      </c>
      <c r="J620" t="inlineStr">
        <is>
          <t>2026-03-30</t>
        </is>
      </c>
      <c r="K620" s="9" t="n">
        <v>3079.11</v>
      </c>
      <c r="L620" t="inlineStr">
        <is>
          <t>USD</t>
        </is>
      </c>
      <c r="M620" s="4" t="n">
        <v>3079.11</v>
      </c>
      <c r="N620" t="inlineStr">
        <is>
          <t>Paid</t>
        </is>
      </c>
      <c r="O620" t="inlineStr">
        <is>
          <t>False</t>
        </is>
      </c>
      <c r="P620" t="n">
        <v>30</v>
      </c>
      <c r="Q620">
        <f>VLOOKUP(D620,GL_Accounts!$A$2:$E$1048576,5,FALSE)</f>
        <v/>
      </c>
      <c r="R620">
        <f>VLOOKUP(D620,GL_Accounts!$A$2:$E$1048576,4,FALSE)</f>
        <v/>
      </c>
    </row>
    <row r="621">
      <c r="A621" t="inlineStr">
        <is>
          <t>INV200620</t>
        </is>
      </c>
      <c r="B621" t="n">
        <v>9</v>
      </c>
      <c r="C621" t="inlineStr">
        <is>
          <t>V0009</t>
        </is>
      </c>
      <c r="D621" t="n">
        <v>6</v>
      </c>
      <c r="E621" t="n">
        <v>61100</v>
      </c>
      <c r="F621" t="inlineStr">
        <is>
          <t>PO100468</t>
        </is>
      </c>
      <c r="G621" t="n">
        <v>20260517</v>
      </c>
      <c r="H621" t="inlineStr">
        <is>
          <t>2026-05-17</t>
        </is>
      </c>
      <c r="I621" t="n">
        <v>20260601</v>
      </c>
      <c r="J621" t="inlineStr">
        <is>
          <t>2026-06-01</t>
        </is>
      </c>
      <c r="K621" s="9" t="n">
        <v>1281.75</v>
      </c>
      <c r="L621" t="inlineStr">
        <is>
          <t>USD</t>
        </is>
      </c>
      <c r="M621" s="4" t="n">
        <v>1281.75</v>
      </c>
      <c r="N621" t="inlineStr">
        <is>
          <t>Paid</t>
        </is>
      </c>
      <c r="O621" t="inlineStr">
        <is>
          <t>False</t>
        </is>
      </c>
      <c r="P621" t="n">
        <v>15</v>
      </c>
      <c r="Q621">
        <f>VLOOKUP(D621,GL_Accounts!$A$2:$E$1048576,5,FALSE)</f>
        <v/>
      </c>
      <c r="R621">
        <f>VLOOKUP(D621,GL_Accounts!$A$2:$E$1048576,4,FALSE)</f>
        <v/>
      </c>
    </row>
    <row r="622">
      <c r="A622" t="inlineStr">
        <is>
          <t>INV200621</t>
        </is>
      </c>
      <c r="B622" t="n">
        <v>9</v>
      </c>
      <c r="C622" t="inlineStr">
        <is>
          <t>V0009</t>
        </is>
      </c>
      <c r="D622" t="n">
        <v>6</v>
      </c>
      <c r="E622" t="n">
        <v>61100</v>
      </c>
      <c r="F622" t="inlineStr">
        <is>
          <t>PO100468</t>
        </is>
      </c>
      <c r="G622" t="n">
        <v>20260615</v>
      </c>
      <c r="H622" t="inlineStr">
        <is>
          <t>2026-06-15</t>
        </is>
      </c>
      <c r="I622" t="n">
        <v>20260630</v>
      </c>
      <c r="J622" t="inlineStr">
        <is>
          <t>2026-06-30</t>
        </is>
      </c>
      <c r="K622" s="9" t="n">
        <v>85.65000000000001</v>
      </c>
      <c r="L622" t="inlineStr">
        <is>
          <t>USD</t>
        </is>
      </c>
      <c r="M622" s="4" t="n">
        <v>85.65000000000001</v>
      </c>
      <c r="N622" t="inlineStr">
        <is>
          <t>Paid</t>
        </is>
      </c>
      <c r="O622" t="inlineStr">
        <is>
          <t>False</t>
        </is>
      </c>
      <c r="P622" t="n">
        <v>15</v>
      </c>
      <c r="Q622">
        <f>VLOOKUP(D622,GL_Accounts!$A$2:$E$1048576,5,FALSE)</f>
        <v/>
      </c>
      <c r="R622">
        <f>VLOOKUP(D622,GL_Accounts!$A$2:$E$1048576,4,FALSE)</f>
        <v/>
      </c>
    </row>
    <row r="623">
      <c r="A623" t="inlineStr">
        <is>
          <t>INV200622</t>
        </is>
      </c>
      <c r="B623" t="n">
        <v>9</v>
      </c>
      <c r="C623" t="inlineStr">
        <is>
          <t>V0009</t>
        </is>
      </c>
      <c r="D623" t="n">
        <v>9</v>
      </c>
      <c r="E623" t="n">
        <v>61400</v>
      </c>
      <c r="F623" t="inlineStr">
        <is>
          <t>PO100468</t>
        </is>
      </c>
      <c r="G623" t="n">
        <v>20260628</v>
      </c>
      <c r="H623" t="inlineStr">
        <is>
          <t>2026-06-28</t>
        </is>
      </c>
      <c r="I623" t="n">
        <v>20260713</v>
      </c>
      <c r="J623" t="inlineStr">
        <is>
          <t>2026-07-13</t>
        </is>
      </c>
      <c r="K623" s="9" t="n">
        <v>1844.08</v>
      </c>
      <c r="L623" t="inlineStr">
        <is>
          <t>USD</t>
        </is>
      </c>
      <c r="M623" s="4" t="n">
        <v>1844.08</v>
      </c>
      <c r="N623" t="inlineStr">
        <is>
          <t>Unpaid</t>
        </is>
      </c>
      <c r="O623" t="inlineStr">
        <is>
          <t>False</t>
        </is>
      </c>
      <c r="P623" t="n">
        <v>15</v>
      </c>
      <c r="Q623">
        <f>VLOOKUP(D623,GL_Accounts!$A$2:$E$1048576,5,FALSE)</f>
        <v/>
      </c>
      <c r="R623">
        <f>VLOOKUP(D623,GL_Accounts!$A$2:$E$1048576,4,FALSE)</f>
        <v/>
      </c>
    </row>
    <row r="624">
      <c r="A624" t="inlineStr">
        <is>
          <t>INV200623</t>
        </is>
      </c>
      <c r="B624" t="n">
        <v>39</v>
      </c>
      <c r="C624" t="inlineStr">
        <is>
          <t>V0039</t>
        </is>
      </c>
      <c r="D624" t="n">
        <v>16</v>
      </c>
      <c r="E624" t="n">
        <v>63300</v>
      </c>
      <c r="F624" t="inlineStr">
        <is>
          <t>PO100470</t>
        </is>
      </c>
      <c r="G624" t="n">
        <v>20250823</v>
      </c>
      <c r="H624" t="inlineStr">
        <is>
          <t>2025-08-23</t>
        </is>
      </c>
      <c r="I624" t="n">
        <v>20251022</v>
      </c>
      <c r="J624" t="inlineStr">
        <is>
          <t>2025-10-22</t>
        </is>
      </c>
      <c r="K624" s="9" t="n">
        <v>31965.08</v>
      </c>
      <c r="L624" t="inlineStr">
        <is>
          <t>CAD</t>
        </is>
      </c>
      <c r="M624" s="4" t="n">
        <v>23654.16</v>
      </c>
      <c r="N624" t="inlineStr">
        <is>
          <t>Paid</t>
        </is>
      </c>
      <c r="O624" t="inlineStr">
        <is>
          <t>False</t>
        </is>
      </c>
      <c r="P624" t="n">
        <v>60</v>
      </c>
      <c r="Q624">
        <f>VLOOKUP(D624,GL_Accounts!$A$2:$E$1048576,5,FALSE)</f>
        <v/>
      </c>
      <c r="R624">
        <f>VLOOKUP(D624,GL_Accounts!$A$2:$E$1048576,4,FALSE)</f>
        <v/>
      </c>
    </row>
    <row r="625">
      <c r="A625" t="inlineStr">
        <is>
          <t>INV200624</t>
        </is>
      </c>
      <c r="B625" t="n">
        <v>39</v>
      </c>
      <c r="C625" t="inlineStr">
        <is>
          <t>V0039</t>
        </is>
      </c>
      <c r="D625" t="n">
        <v>17</v>
      </c>
      <c r="E625" t="n">
        <v>64100</v>
      </c>
      <c r="F625" t="inlineStr">
        <is>
          <t>PO100470</t>
        </is>
      </c>
      <c r="G625" t="n">
        <v>20250919</v>
      </c>
      <c r="H625" t="inlineStr">
        <is>
          <t>2025-09-19</t>
        </is>
      </c>
      <c r="I625" t="n">
        <v>20251118</v>
      </c>
      <c r="J625" t="inlineStr">
        <is>
          <t>2025-11-18</t>
        </is>
      </c>
      <c r="K625" s="9" t="n">
        <v>665.45</v>
      </c>
      <c r="L625" t="inlineStr">
        <is>
          <t>CAD</t>
        </is>
      </c>
      <c r="M625" s="4" t="n">
        <v>492.43</v>
      </c>
      <c r="N625" t="inlineStr">
        <is>
          <t>Paid</t>
        </is>
      </c>
      <c r="O625" t="inlineStr">
        <is>
          <t>False</t>
        </is>
      </c>
      <c r="P625" t="n">
        <v>60</v>
      </c>
      <c r="Q625">
        <f>VLOOKUP(D625,GL_Accounts!$A$2:$E$1048576,5,FALSE)</f>
        <v/>
      </c>
      <c r="R625">
        <f>VLOOKUP(D625,GL_Accounts!$A$2:$E$1048576,4,FALSE)</f>
        <v/>
      </c>
    </row>
    <row r="626">
      <c r="A626" t="inlineStr">
        <is>
          <t>INV200625</t>
        </is>
      </c>
      <c r="B626" t="n">
        <v>39</v>
      </c>
      <c r="C626" t="inlineStr">
        <is>
          <t>V0039</t>
        </is>
      </c>
      <c r="D626" t="n">
        <v>19</v>
      </c>
      <c r="E626" t="n">
        <v>64300</v>
      </c>
      <c r="F626" t="inlineStr">
        <is>
          <t>PO100470</t>
        </is>
      </c>
      <c r="G626" t="n">
        <v>20250919</v>
      </c>
      <c r="H626" t="inlineStr">
        <is>
          <t>2025-09-19</t>
        </is>
      </c>
      <c r="I626" t="n">
        <v>20251118</v>
      </c>
      <c r="J626" t="inlineStr">
        <is>
          <t>2025-11-18</t>
        </is>
      </c>
      <c r="K626" s="9" t="n">
        <v>36135.28</v>
      </c>
      <c r="L626" t="inlineStr">
        <is>
          <t>CAD</t>
        </is>
      </c>
      <c r="M626" s="4" t="n">
        <v>26740.11</v>
      </c>
      <c r="N626" t="inlineStr">
        <is>
          <t>Paid</t>
        </is>
      </c>
      <c r="O626" t="inlineStr">
        <is>
          <t>False</t>
        </is>
      </c>
      <c r="P626" t="n">
        <v>60</v>
      </c>
      <c r="Q626">
        <f>VLOOKUP(D626,GL_Accounts!$A$2:$E$1048576,5,FALSE)</f>
        <v/>
      </c>
      <c r="R626">
        <f>VLOOKUP(D626,GL_Accounts!$A$2:$E$1048576,4,FALSE)</f>
        <v/>
      </c>
    </row>
    <row r="627">
      <c r="A627" t="inlineStr">
        <is>
          <t>INV200626</t>
        </is>
      </c>
      <c r="B627" t="n">
        <v>32</v>
      </c>
      <c r="C627" t="inlineStr">
        <is>
          <t>V0032</t>
        </is>
      </c>
      <c r="D627" t="n">
        <v>7</v>
      </c>
      <c r="E627" t="n">
        <v>61200</v>
      </c>
      <c r="F627" t="inlineStr">
        <is>
          <t>PO100471</t>
        </is>
      </c>
      <c r="G627" t="n">
        <v>20251103</v>
      </c>
      <c r="H627" t="inlineStr">
        <is>
          <t>2025-11-03</t>
        </is>
      </c>
      <c r="I627" t="n">
        <v>20251218</v>
      </c>
      <c r="J627" t="inlineStr">
        <is>
          <t>2025-12-18</t>
        </is>
      </c>
      <c r="K627" s="9" t="n">
        <v>12023.63</v>
      </c>
      <c r="L627" t="inlineStr">
        <is>
          <t>USD</t>
        </is>
      </c>
      <c r="M627" s="4" t="n">
        <v>12023.63</v>
      </c>
      <c r="N627" t="inlineStr">
        <is>
          <t>Paid</t>
        </is>
      </c>
      <c r="O627" t="inlineStr">
        <is>
          <t>False</t>
        </is>
      </c>
      <c r="P627" t="n">
        <v>45</v>
      </c>
      <c r="Q627">
        <f>VLOOKUP(D627,GL_Accounts!$A$2:$E$1048576,5,FALSE)</f>
        <v/>
      </c>
      <c r="R627">
        <f>VLOOKUP(D627,GL_Accounts!$A$2:$E$1048576,4,FALSE)</f>
        <v/>
      </c>
    </row>
    <row r="628">
      <c r="A628" t="inlineStr">
        <is>
          <t>INV200627</t>
        </is>
      </c>
      <c r="B628" t="n">
        <v>47</v>
      </c>
      <c r="C628" t="inlineStr">
        <is>
          <t>V0047</t>
        </is>
      </c>
      <c r="D628" t="n">
        <v>20</v>
      </c>
      <c r="E628" t="n">
        <v>65100</v>
      </c>
      <c r="F628" t="inlineStr">
        <is>
          <t>PO100472</t>
        </is>
      </c>
      <c r="G628" t="n">
        <v>20251031</v>
      </c>
      <c r="H628" t="inlineStr">
        <is>
          <t>2025-10-31</t>
        </is>
      </c>
      <c r="I628" t="n">
        <v>20251130</v>
      </c>
      <c r="J628" t="inlineStr">
        <is>
          <t>2025-11-30</t>
        </is>
      </c>
      <c r="K628" s="9" t="n">
        <v>705.8200000000001</v>
      </c>
      <c r="L628" t="inlineStr">
        <is>
          <t>USD</t>
        </is>
      </c>
      <c r="M628" s="4" t="n">
        <v>705.8200000000001</v>
      </c>
      <c r="N628" t="inlineStr">
        <is>
          <t>Paid</t>
        </is>
      </c>
      <c r="O628" t="inlineStr">
        <is>
          <t>False</t>
        </is>
      </c>
      <c r="P628" t="n">
        <v>30</v>
      </c>
      <c r="Q628">
        <f>VLOOKUP(D628,GL_Accounts!$A$2:$E$1048576,5,FALSE)</f>
        <v/>
      </c>
      <c r="R628">
        <f>VLOOKUP(D628,GL_Accounts!$A$2:$E$1048576,4,FALSE)</f>
        <v/>
      </c>
    </row>
    <row r="629">
      <c r="A629" t="inlineStr">
        <is>
          <t>INV200628</t>
        </is>
      </c>
      <c r="B629" t="n">
        <v>24</v>
      </c>
      <c r="C629" t="inlineStr">
        <is>
          <t>V0024</t>
        </is>
      </c>
      <c r="D629" t="n">
        <v>17</v>
      </c>
      <c r="E629" t="n">
        <v>64100</v>
      </c>
      <c r="F629" t="inlineStr">
        <is>
          <t>PO100474</t>
        </is>
      </c>
      <c r="G629" t="n">
        <v>20241125</v>
      </c>
      <c r="H629" t="inlineStr">
        <is>
          <t>2024-11-25</t>
        </is>
      </c>
      <c r="I629" t="n">
        <v>20241210</v>
      </c>
      <c r="J629" t="inlineStr">
        <is>
          <t>2024-12-10</t>
        </is>
      </c>
      <c r="K629" s="9" t="n">
        <v>8928.639999999999</v>
      </c>
      <c r="L629" t="inlineStr">
        <is>
          <t>USD</t>
        </is>
      </c>
      <c r="M629" s="4" t="n">
        <v>8928.639999999999</v>
      </c>
      <c r="N629" t="inlineStr">
        <is>
          <t>Unpaid</t>
        </is>
      </c>
      <c r="O629" t="inlineStr">
        <is>
          <t>False</t>
        </is>
      </c>
      <c r="P629" t="n">
        <v>15</v>
      </c>
      <c r="Q629">
        <f>VLOOKUP(D629,GL_Accounts!$A$2:$E$1048576,5,FALSE)</f>
        <v/>
      </c>
      <c r="R629">
        <f>VLOOKUP(D629,GL_Accounts!$A$2:$E$1048576,4,FALSE)</f>
        <v/>
      </c>
    </row>
    <row r="630">
      <c r="A630" t="inlineStr">
        <is>
          <t>INV200629</t>
        </is>
      </c>
      <c r="B630" t="n">
        <v>24</v>
      </c>
      <c r="C630" t="inlineStr">
        <is>
          <t>V0024</t>
        </is>
      </c>
      <c r="D630" t="n">
        <v>16</v>
      </c>
      <c r="E630" t="n">
        <v>63300</v>
      </c>
      <c r="F630" t="inlineStr">
        <is>
          <t>PO100474</t>
        </is>
      </c>
      <c r="G630" t="n">
        <v>20241201</v>
      </c>
      <c r="H630" t="inlineStr">
        <is>
          <t>2024-12-01</t>
        </is>
      </c>
      <c r="I630" t="n">
        <v>20241216</v>
      </c>
      <c r="J630" t="inlineStr">
        <is>
          <t>2024-12-16</t>
        </is>
      </c>
      <c r="K630" s="9" t="n">
        <v>11316.33</v>
      </c>
      <c r="L630" t="inlineStr">
        <is>
          <t>USD</t>
        </is>
      </c>
      <c r="M630" s="4" t="n">
        <v>11316.33</v>
      </c>
      <c r="N630" t="inlineStr">
        <is>
          <t>Paid</t>
        </is>
      </c>
      <c r="O630" t="inlineStr">
        <is>
          <t>False</t>
        </is>
      </c>
      <c r="P630" t="n">
        <v>15</v>
      </c>
      <c r="Q630">
        <f>VLOOKUP(D630,GL_Accounts!$A$2:$E$1048576,5,FALSE)</f>
        <v/>
      </c>
      <c r="R630">
        <f>VLOOKUP(D630,GL_Accounts!$A$2:$E$1048576,4,FALSE)</f>
        <v/>
      </c>
    </row>
    <row r="631">
      <c r="A631" t="inlineStr">
        <is>
          <t>INV200630</t>
        </is>
      </c>
      <c r="B631" t="n">
        <v>9</v>
      </c>
      <c r="C631" t="inlineStr">
        <is>
          <t>V0009</t>
        </is>
      </c>
      <c r="D631" t="n">
        <v>7</v>
      </c>
      <c r="E631" t="n">
        <v>61200</v>
      </c>
      <c r="F631" t="inlineStr">
        <is>
          <t>PO100475</t>
        </is>
      </c>
      <c r="G631" t="n">
        <v>20250201</v>
      </c>
      <c r="H631" t="inlineStr">
        <is>
          <t>2025-02-01</t>
        </is>
      </c>
      <c r="I631" t="n">
        <v>20250216</v>
      </c>
      <c r="J631" t="inlineStr">
        <is>
          <t>2025-02-16</t>
        </is>
      </c>
      <c r="K631" s="9" t="n">
        <v>2218.7</v>
      </c>
      <c r="L631" t="inlineStr">
        <is>
          <t>USD</t>
        </is>
      </c>
      <c r="M631" s="4" t="n">
        <v>2218.7</v>
      </c>
      <c r="N631" t="inlineStr">
        <is>
          <t>Paid</t>
        </is>
      </c>
      <c r="O631" t="inlineStr">
        <is>
          <t>False</t>
        </is>
      </c>
      <c r="P631" t="n">
        <v>15</v>
      </c>
      <c r="Q631">
        <f>VLOOKUP(D631,GL_Accounts!$A$2:$E$1048576,5,FALSE)</f>
        <v/>
      </c>
      <c r="R631">
        <f>VLOOKUP(D631,GL_Accounts!$A$2:$E$1048576,4,FALSE)</f>
        <v/>
      </c>
    </row>
    <row r="632">
      <c r="A632" t="inlineStr">
        <is>
          <t>INV200631</t>
        </is>
      </c>
      <c r="B632" t="n">
        <v>9</v>
      </c>
      <c r="C632" t="inlineStr">
        <is>
          <t>V0009</t>
        </is>
      </c>
      <c r="D632" t="n">
        <v>9</v>
      </c>
      <c r="E632" t="n">
        <v>61400</v>
      </c>
      <c r="F632" t="inlineStr">
        <is>
          <t>PO100475</t>
        </is>
      </c>
      <c r="G632" t="n">
        <v>20250319</v>
      </c>
      <c r="H632" t="inlineStr">
        <is>
          <t>2025-03-19</t>
        </is>
      </c>
      <c r="I632" t="n">
        <v>20250403</v>
      </c>
      <c r="J632" t="inlineStr">
        <is>
          <t>2025-04-03</t>
        </is>
      </c>
      <c r="K632" s="9" t="n">
        <v>520.76</v>
      </c>
      <c r="L632" t="inlineStr">
        <is>
          <t>USD</t>
        </is>
      </c>
      <c r="M632" s="4" t="n">
        <v>520.76</v>
      </c>
      <c r="N632" t="inlineStr">
        <is>
          <t>Paid</t>
        </is>
      </c>
      <c r="O632" t="inlineStr">
        <is>
          <t>False</t>
        </is>
      </c>
      <c r="P632" t="n">
        <v>15</v>
      </c>
      <c r="Q632">
        <f>VLOOKUP(D632,GL_Accounts!$A$2:$E$1048576,5,FALSE)</f>
        <v/>
      </c>
      <c r="R632">
        <f>VLOOKUP(D632,GL_Accounts!$A$2:$E$1048576,4,FALSE)</f>
        <v/>
      </c>
    </row>
    <row r="633">
      <c r="A633" t="inlineStr">
        <is>
          <t>INV200632</t>
        </is>
      </c>
      <c r="B633" t="n">
        <v>9</v>
      </c>
      <c r="C633" t="inlineStr">
        <is>
          <t>V0009</t>
        </is>
      </c>
      <c r="D633" t="n">
        <v>6</v>
      </c>
      <c r="E633" t="n">
        <v>61100</v>
      </c>
      <c r="F633" t="inlineStr">
        <is>
          <t>PO100475</t>
        </is>
      </c>
      <c r="G633" t="n">
        <v>20250221</v>
      </c>
      <c r="H633" t="inlineStr">
        <is>
          <t>2025-02-21</t>
        </is>
      </c>
      <c r="I633" t="n">
        <v>20250308</v>
      </c>
      <c r="J633" t="inlineStr">
        <is>
          <t>2025-03-08</t>
        </is>
      </c>
      <c r="K633" s="9" t="n">
        <v>1167.32</v>
      </c>
      <c r="L633" t="inlineStr">
        <is>
          <t>USD</t>
        </is>
      </c>
      <c r="M633" s="4" t="n">
        <v>1167.32</v>
      </c>
      <c r="N633" t="inlineStr">
        <is>
          <t>Paid</t>
        </is>
      </c>
      <c r="O633" t="inlineStr">
        <is>
          <t>False</t>
        </is>
      </c>
      <c r="P633" t="n">
        <v>15</v>
      </c>
      <c r="Q633">
        <f>VLOOKUP(D633,GL_Accounts!$A$2:$E$1048576,5,FALSE)</f>
        <v/>
      </c>
      <c r="R633">
        <f>VLOOKUP(D633,GL_Accounts!$A$2:$E$1048576,4,FALSE)</f>
        <v/>
      </c>
    </row>
    <row r="634">
      <c r="A634" t="inlineStr">
        <is>
          <t>INV200633</t>
        </is>
      </c>
      <c r="B634" t="n">
        <v>12</v>
      </c>
      <c r="C634" t="inlineStr">
        <is>
          <t>V0012</t>
        </is>
      </c>
      <c r="D634" t="n">
        <v>11</v>
      </c>
      <c r="E634" t="n">
        <v>62200</v>
      </c>
      <c r="F634" t="inlineStr">
        <is>
          <t>PO100476</t>
        </is>
      </c>
      <c r="G634" t="n">
        <v>20250109</v>
      </c>
      <c r="H634" t="inlineStr">
        <is>
          <t>2025-01-09</t>
        </is>
      </c>
      <c r="I634" t="n">
        <v>20250208</v>
      </c>
      <c r="J634" t="inlineStr">
        <is>
          <t>2025-02-08</t>
        </is>
      </c>
      <c r="K634" s="9" t="n">
        <v>2681.46</v>
      </c>
      <c r="L634" t="inlineStr">
        <is>
          <t>USD</t>
        </is>
      </c>
      <c r="M634" s="4" t="n">
        <v>2681.46</v>
      </c>
      <c r="N634" t="inlineStr">
        <is>
          <t>Paid</t>
        </is>
      </c>
      <c r="O634" t="inlineStr">
        <is>
          <t>False</t>
        </is>
      </c>
      <c r="P634" t="n">
        <v>30</v>
      </c>
      <c r="Q634">
        <f>VLOOKUP(D634,GL_Accounts!$A$2:$E$1048576,5,FALSE)</f>
        <v/>
      </c>
      <c r="R634">
        <f>VLOOKUP(D634,GL_Accounts!$A$2:$E$1048576,4,FALSE)</f>
        <v/>
      </c>
    </row>
    <row r="635">
      <c r="A635" t="inlineStr">
        <is>
          <t>INV200634</t>
        </is>
      </c>
      <c r="B635" t="n">
        <v>28</v>
      </c>
      <c r="C635" t="inlineStr">
        <is>
          <t>V0028</t>
        </is>
      </c>
      <c r="D635" t="n">
        <v>16</v>
      </c>
      <c r="E635" t="n">
        <v>63300</v>
      </c>
      <c r="F635" t="inlineStr">
        <is>
          <t>PO100477</t>
        </is>
      </c>
      <c r="G635" t="n">
        <v>20260710</v>
      </c>
      <c r="H635" t="inlineStr">
        <is>
          <t>2026-07-10</t>
        </is>
      </c>
      <c r="I635" t="n">
        <v>20260908</v>
      </c>
      <c r="J635" t="inlineStr">
        <is>
          <t>2026-09-08</t>
        </is>
      </c>
      <c r="K635" s="9" t="n">
        <v>40631.11</v>
      </c>
      <c r="L635" t="inlineStr">
        <is>
          <t>USD</t>
        </is>
      </c>
      <c r="M635" s="4" t="n">
        <v>40631.11</v>
      </c>
      <c r="N635" t="inlineStr">
        <is>
          <t>Unpaid</t>
        </is>
      </c>
      <c r="O635" t="inlineStr">
        <is>
          <t>False</t>
        </is>
      </c>
      <c r="P635" t="n">
        <v>60</v>
      </c>
      <c r="Q635">
        <f>VLOOKUP(D635,GL_Accounts!$A$2:$E$1048576,5,FALSE)</f>
        <v/>
      </c>
      <c r="R635">
        <f>VLOOKUP(D635,GL_Accounts!$A$2:$E$1048576,4,FALSE)</f>
        <v/>
      </c>
    </row>
    <row r="636">
      <c r="A636" t="inlineStr">
        <is>
          <t>INV200635</t>
        </is>
      </c>
      <c r="B636" t="n">
        <v>9</v>
      </c>
      <c r="C636" t="inlineStr">
        <is>
          <t>V0009</t>
        </is>
      </c>
      <c r="D636" t="n">
        <v>7</v>
      </c>
      <c r="E636" t="n">
        <v>61200</v>
      </c>
      <c r="F636" t="inlineStr">
        <is>
          <t>PO100478</t>
        </is>
      </c>
      <c r="G636" t="n">
        <v>20260203</v>
      </c>
      <c r="H636" t="inlineStr">
        <is>
          <t>2026-02-03</t>
        </is>
      </c>
      <c r="I636" t="n">
        <v>20260218</v>
      </c>
      <c r="J636" t="inlineStr">
        <is>
          <t>2026-02-18</t>
        </is>
      </c>
      <c r="K636" s="9" t="n">
        <v>5945.67</v>
      </c>
      <c r="L636" t="inlineStr">
        <is>
          <t>USD</t>
        </is>
      </c>
      <c r="M636" s="4" t="n">
        <v>5945.67</v>
      </c>
      <c r="N636" t="inlineStr">
        <is>
          <t>Paid</t>
        </is>
      </c>
      <c r="O636" t="inlineStr">
        <is>
          <t>False</t>
        </is>
      </c>
      <c r="P636" t="n">
        <v>15</v>
      </c>
      <c r="Q636">
        <f>VLOOKUP(D636,GL_Accounts!$A$2:$E$1048576,5,FALSE)</f>
        <v/>
      </c>
      <c r="R636">
        <f>VLOOKUP(D636,GL_Accounts!$A$2:$E$1048576,4,FALSE)</f>
        <v/>
      </c>
    </row>
    <row r="637">
      <c r="A637" t="inlineStr">
        <is>
          <t>INV200636</t>
        </is>
      </c>
      <c r="B637" t="n">
        <v>40</v>
      </c>
      <c r="C637" t="inlineStr">
        <is>
          <t>V0040</t>
        </is>
      </c>
      <c r="D637" t="n">
        <v>12</v>
      </c>
      <c r="E637" t="n">
        <v>62300</v>
      </c>
      <c r="F637" t="inlineStr">
        <is>
          <t>PO100479</t>
        </is>
      </c>
      <c r="G637" t="n">
        <v>20250625</v>
      </c>
      <c r="H637" t="inlineStr">
        <is>
          <t>2025-06-25</t>
        </is>
      </c>
      <c r="I637" t="n">
        <v>20250725</v>
      </c>
      <c r="J637" t="inlineStr">
        <is>
          <t>2025-07-25</t>
        </is>
      </c>
      <c r="K637" s="9" t="n">
        <v>350.12</v>
      </c>
      <c r="L637" t="inlineStr">
        <is>
          <t>USD</t>
        </is>
      </c>
      <c r="M637" s="4" t="n">
        <v>350.12</v>
      </c>
      <c r="N637" t="inlineStr">
        <is>
          <t>Unpaid</t>
        </is>
      </c>
      <c r="O637" t="inlineStr">
        <is>
          <t>False</t>
        </is>
      </c>
      <c r="P637" t="n">
        <v>30</v>
      </c>
      <c r="Q637">
        <f>VLOOKUP(D637,GL_Accounts!$A$2:$E$1048576,5,FALSE)</f>
        <v/>
      </c>
      <c r="R637">
        <f>VLOOKUP(D637,GL_Accounts!$A$2:$E$1048576,4,FALSE)</f>
        <v/>
      </c>
    </row>
    <row r="638">
      <c r="A638" t="inlineStr">
        <is>
          <t>INV200637</t>
        </is>
      </c>
      <c r="B638" t="n">
        <v>40</v>
      </c>
      <c r="C638" t="inlineStr">
        <is>
          <t>V0040</t>
        </is>
      </c>
      <c r="D638" t="n">
        <v>10</v>
      </c>
      <c r="E638" t="n">
        <v>62100</v>
      </c>
      <c r="F638" t="inlineStr">
        <is>
          <t>PO100479</t>
        </is>
      </c>
      <c r="G638" t="n">
        <v>20250807</v>
      </c>
      <c r="H638" t="inlineStr">
        <is>
          <t>2025-08-07</t>
        </is>
      </c>
      <c r="I638" t="n">
        <v>20250906</v>
      </c>
      <c r="J638" t="inlineStr">
        <is>
          <t>2025-09-06</t>
        </is>
      </c>
      <c r="K638" s="9" t="n">
        <v>83.54000000000001</v>
      </c>
      <c r="L638" t="inlineStr">
        <is>
          <t>USD</t>
        </is>
      </c>
      <c r="M638" s="4" t="n">
        <v>83.54000000000001</v>
      </c>
      <c r="N638" t="inlineStr">
        <is>
          <t>Paid</t>
        </is>
      </c>
      <c r="O638" t="inlineStr">
        <is>
          <t>False</t>
        </is>
      </c>
      <c r="P638" t="n">
        <v>30</v>
      </c>
      <c r="Q638">
        <f>VLOOKUP(D638,GL_Accounts!$A$2:$E$1048576,5,FALSE)</f>
        <v/>
      </c>
      <c r="R638">
        <f>VLOOKUP(D638,GL_Accounts!$A$2:$E$1048576,4,FALSE)</f>
        <v/>
      </c>
    </row>
    <row r="639">
      <c r="A639" t="inlineStr">
        <is>
          <t>INV200638</t>
        </is>
      </c>
      <c r="B639" t="n">
        <v>40</v>
      </c>
      <c r="C639" t="inlineStr">
        <is>
          <t>V0040</t>
        </is>
      </c>
      <c r="D639" t="n">
        <v>11</v>
      </c>
      <c r="E639" t="n">
        <v>62200</v>
      </c>
      <c r="F639" t="inlineStr">
        <is>
          <t>PO100479</t>
        </is>
      </c>
      <c r="G639" t="n">
        <v>20250924</v>
      </c>
      <c r="H639" t="inlineStr">
        <is>
          <t>2025-09-24</t>
        </is>
      </c>
      <c r="I639" t="n">
        <v>20251024</v>
      </c>
      <c r="J639" t="inlineStr">
        <is>
          <t>2025-10-24</t>
        </is>
      </c>
      <c r="K639" s="9" t="n">
        <v>646.28</v>
      </c>
      <c r="L639" t="inlineStr">
        <is>
          <t>USD</t>
        </is>
      </c>
      <c r="M639" s="4" t="n">
        <v>646.28</v>
      </c>
      <c r="N639" t="inlineStr">
        <is>
          <t>Paid</t>
        </is>
      </c>
      <c r="O639" t="inlineStr">
        <is>
          <t>False</t>
        </is>
      </c>
      <c r="P639" t="n">
        <v>30</v>
      </c>
      <c r="Q639">
        <f>VLOOKUP(D639,GL_Accounts!$A$2:$E$1048576,5,FALSE)</f>
        <v/>
      </c>
      <c r="R639">
        <f>VLOOKUP(D639,GL_Accounts!$A$2:$E$1048576,4,FALSE)</f>
        <v/>
      </c>
    </row>
    <row r="640">
      <c r="A640" t="inlineStr">
        <is>
          <t>INV200639</t>
        </is>
      </c>
      <c r="B640" t="n">
        <v>17</v>
      </c>
      <c r="C640" t="inlineStr">
        <is>
          <t>V0017</t>
        </is>
      </c>
      <c r="D640" t="n">
        <v>9</v>
      </c>
      <c r="E640" t="n">
        <v>61400</v>
      </c>
      <c r="F640" t="inlineStr">
        <is>
          <t>PO100480</t>
        </is>
      </c>
      <c r="G640" t="n">
        <v>20250217</v>
      </c>
      <c r="H640" t="inlineStr">
        <is>
          <t>2025-02-17</t>
        </is>
      </c>
      <c r="I640" t="n">
        <v>20250403</v>
      </c>
      <c r="J640" t="inlineStr">
        <is>
          <t>2025-04-03</t>
        </is>
      </c>
      <c r="K640" s="9" t="n">
        <v>12856.69</v>
      </c>
      <c r="L640" t="inlineStr">
        <is>
          <t>USD</t>
        </is>
      </c>
      <c r="M640" s="4" t="n">
        <v>12856.69</v>
      </c>
      <c r="N640" t="inlineStr">
        <is>
          <t>Paid</t>
        </is>
      </c>
      <c r="O640" t="inlineStr">
        <is>
          <t>False</t>
        </is>
      </c>
      <c r="P640" t="n">
        <v>45</v>
      </c>
      <c r="Q640">
        <f>VLOOKUP(D640,GL_Accounts!$A$2:$E$1048576,5,FALSE)</f>
        <v/>
      </c>
      <c r="R640">
        <f>VLOOKUP(D640,GL_Accounts!$A$2:$E$1048576,4,FALSE)</f>
        <v/>
      </c>
    </row>
    <row r="641">
      <c r="A641" t="inlineStr">
        <is>
          <t>INV200640</t>
        </is>
      </c>
      <c r="B641" t="n">
        <v>17</v>
      </c>
      <c r="C641" t="inlineStr">
        <is>
          <t>V0017</t>
        </is>
      </c>
      <c r="D641" t="n">
        <v>6</v>
      </c>
      <c r="E641" t="n">
        <v>61100</v>
      </c>
      <c r="F641" t="inlineStr">
        <is>
          <t>PO100480</t>
        </is>
      </c>
      <c r="G641" t="n">
        <v>20250306</v>
      </c>
      <c r="H641" t="inlineStr">
        <is>
          <t>2025-03-06</t>
        </is>
      </c>
      <c r="I641" t="n">
        <v>20250420</v>
      </c>
      <c r="J641" t="inlineStr">
        <is>
          <t>2025-04-20</t>
        </is>
      </c>
      <c r="K641" s="9" t="n">
        <v>11183.31</v>
      </c>
      <c r="L641" t="inlineStr">
        <is>
          <t>USD</t>
        </is>
      </c>
      <c r="M641" s="4" t="n">
        <v>11183.31</v>
      </c>
      <c r="N641" t="inlineStr">
        <is>
          <t>Paid</t>
        </is>
      </c>
      <c r="O641" t="inlineStr">
        <is>
          <t>False</t>
        </is>
      </c>
      <c r="P641" t="n">
        <v>45</v>
      </c>
      <c r="Q641">
        <f>VLOOKUP(D641,GL_Accounts!$A$2:$E$1048576,5,FALSE)</f>
        <v/>
      </c>
      <c r="R641">
        <f>VLOOKUP(D641,GL_Accounts!$A$2:$E$1048576,4,FALSE)</f>
        <v/>
      </c>
    </row>
    <row r="642">
      <c r="A642" t="inlineStr">
        <is>
          <t>INV200641</t>
        </is>
      </c>
      <c r="B642" t="n">
        <v>39</v>
      </c>
      <c r="C642" t="inlineStr">
        <is>
          <t>V0039</t>
        </is>
      </c>
      <c r="D642" t="n">
        <v>17</v>
      </c>
      <c r="E642" t="n">
        <v>64100</v>
      </c>
      <c r="G642" t="n">
        <v>20260425</v>
      </c>
      <c r="H642" t="inlineStr">
        <is>
          <t>2026-04-25</t>
        </is>
      </c>
      <c r="I642" t="n">
        <v>20260624</v>
      </c>
      <c r="J642" t="inlineStr">
        <is>
          <t>2026-06-24</t>
        </is>
      </c>
      <c r="K642" s="9" t="n">
        <v>13551</v>
      </c>
      <c r="L642" t="inlineStr">
        <is>
          <t>CAD</t>
        </is>
      </c>
      <c r="M642" s="4" t="n">
        <v>10027.74</v>
      </c>
      <c r="N642" t="inlineStr">
        <is>
          <t>Paid</t>
        </is>
      </c>
      <c r="O642" t="inlineStr">
        <is>
          <t>True</t>
        </is>
      </c>
      <c r="P642" t="n">
        <v>60</v>
      </c>
      <c r="Q642">
        <f>VLOOKUP(D642,GL_Accounts!$A$2:$E$1048576,5,FALSE)</f>
        <v/>
      </c>
      <c r="R642">
        <f>VLOOKUP(D642,GL_Accounts!$A$2:$E$1048576,4,FALSE)</f>
        <v/>
      </c>
    </row>
    <row r="643">
      <c r="A643" t="inlineStr">
        <is>
          <t>INV200642</t>
        </is>
      </c>
      <c r="B643" t="n">
        <v>48</v>
      </c>
      <c r="C643" t="inlineStr">
        <is>
          <t>V0048</t>
        </is>
      </c>
      <c r="D643" t="n">
        <v>3</v>
      </c>
      <c r="E643" t="n">
        <v>60120</v>
      </c>
      <c r="G643" t="n">
        <v>20250114</v>
      </c>
      <c r="H643" t="inlineStr">
        <is>
          <t>2025-01-14</t>
        </is>
      </c>
      <c r="I643" t="n">
        <v>20250228</v>
      </c>
      <c r="J643" t="inlineStr">
        <is>
          <t>2025-02-28</t>
        </is>
      </c>
      <c r="K643" s="9" t="n">
        <v>33405.09</v>
      </c>
      <c r="L643" t="inlineStr">
        <is>
          <t>USD</t>
        </is>
      </c>
      <c r="M643" s="4" t="n">
        <v>33405.09</v>
      </c>
      <c r="N643" t="inlineStr">
        <is>
          <t>Paid</t>
        </is>
      </c>
      <c r="O643" t="inlineStr">
        <is>
          <t>True</t>
        </is>
      </c>
      <c r="P643" t="n">
        <v>45</v>
      </c>
      <c r="Q643">
        <f>VLOOKUP(D643,GL_Accounts!$A$2:$E$1048576,5,FALSE)</f>
        <v/>
      </c>
      <c r="R643">
        <f>VLOOKUP(D643,GL_Accounts!$A$2:$E$1048576,4,FALSE)</f>
        <v/>
      </c>
    </row>
    <row r="644">
      <c r="A644" t="inlineStr">
        <is>
          <t>INV200643</t>
        </is>
      </c>
      <c r="B644" t="n">
        <v>14</v>
      </c>
      <c r="C644" t="inlineStr">
        <is>
          <t>V0014</t>
        </is>
      </c>
      <c r="D644" t="n">
        <v>13</v>
      </c>
      <c r="E644" t="n">
        <v>62400</v>
      </c>
      <c r="G644" t="n">
        <v>20250512</v>
      </c>
      <c r="H644" t="inlineStr">
        <is>
          <t>2025-05-12</t>
        </is>
      </c>
      <c r="I644" t="n">
        <v>20250711</v>
      </c>
      <c r="J644" t="inlineStr">
        <is>
          <t>2025-07-11</t>
        </is>
      </c>
      <c r="K644" s="9" t="n">
        <v>1126.56</v>
      </c>
      <c r="L644" t="inlineStr">
        <is>
          <t>USD</t>
        </is>
      </c>
      <c r="M644" s="4" t="n">
        <v>1126.56</v>
      </c>
      <c r="N644" t="inlineStr">
        <is>
          <t>Paid</t>
        </is>
      </c>
      <c r="O644" t="inlineStr">
        <is>
          <t>True</t>
        </is>
      </c>
      <c r="P644" t="n">
        <v>60</v>
      </c>
      <c r="Q644">
        <f>VLOOKUP(D644,GL_Accounts!$A$2:$E$1048576,5,FALSE)</f>
        <v/>
      </c>
      <c r="R644">
        <f>VLOOKUP(D644,GL_Accounts!$A$2:$E$1048576,4,FALSE)</f>
        <v/>
      </c>
    </row>
    <row r="645">
      <c r="A645" t="inlineStr">
        <is>
          <t>INV200644</t>
        </is>
      </c>
      <c r="B645" t="n">
        <v>12</v>
      </c>
      <c r="C645" t="inlineStr">
        <is>
          <t>V0012</t>
        </is>
      </c>
      <c r="D645" t="n">
        <v>13</v>
      </c>
      <c r="E645" t="n">
        <v>62400</v>
      </c>
      <c r="G645" t="n">
        <v>20260429</v>
      </c>
      <c r="H645" t="inlineStr">
        <is>
          <t>2026-04-29</t>
        </is>
      </c>
      <c r="I645" t="n">
        <v>20260529</v>
      </c>
      <c r="J645" t="inlineStr">
        <is>
          <t>2026-05-29</t>
        </is>
      </c>
      <c r="K645" s="9" t="n">
        <v>2144.37</v>
      </c>
      <c r="L645" t="inlineStr">
        <is>
          <t>USD</t>
        </is>
      </c>
      <c r="M645" s="4" t="n">
        <v>2144.37</v>
      </c>
      <c r="N645" t="inlineStr">
        <is>
          <t>Paid</t>
        </is>
      </c>
      <c r="O645" t="inlineStr">
        <is>
          <t>True</t>
        </is>
      </c>
      <c r="P645" t="n">
        <v>30</v>
      </c>
      <c r="Q645">
        <f>VLOOKUP(D645,GL_Accounts!$A$2:$E$1048576,5,FALSE)</f>
        <v/>
      </c>
      <c r="R645">
        <f>VLOOKUP(D645,GL_Accounts!$A$2:$E$1048576,4,FALSE)</f>
        <v/>
      </c>
    </row>
    <row r="646">
      <c r="A646" t="inlineStr">
        <is>
          <t>INV200645</t>
        </is>
      </c>
      <c r="B646" t="n">
        <v>1</v>
      </c>
      <c r="C646" t="inlineStr">
        <is>
          <t>V0001</t>
        </is>
      </c>
      <c r="D646" t="n">
        <v>3</v>
      </c>
      <c r="E646" t="n">
        <v>60120</v>
      </c>
      <c r="G646" t="n">
        <v>20241128</v>
      </c>
      <c r="H646" t="inlineStr">
        <is>
          <t>2024-11-28</t>
        </is>
      </c>
      <c r="I646" t="n">
        <v>20241228</v>
      </c>
      <c r="J646" t="inlineStr">
        <is>
          <t>2024-12-28</t>
        </is>
      </c>
      <c r="K646" s="9" t="n">
        <v>5279.64</v>
      </c>
      <c r="L646" t="inlineStr">
        <is>
          <t>USD</t>
        </is>
      </c>
      <c r="M646" s="4" t="n">
        <v>5279.64</v>
      </c>
      <c r="N646" t="inlineStr">
        <is>
          <t>Paid</t>
        </is>
      </c>
      <c r="O646" t="inlineStr">
        <is>
          <t>True</t>
        </is>
      </c>
      <c r="P646" t="n">
        <v>30</v>
      </c>
      <c r="Q646">
        <f>VLOOKUP(D646,GL_Accounts!$A$2:$E$1048576,5,FALSE)</f>
        <v/>
      </c>
      <c r="R646">
        <f>VLOOKUP(D646,GL_Accounts!$A$2:$E$1048576,4,FALSE)</f>
        <v/>
      </c>
    </row>
    <row r="647">
      <c r="A647" t="inlineStr">
        <is>
          <t>INV200646</t>
        </is>
      </c>
      <c r="B647" t="n">
        <v>22</v>
      </c>
      <c r="C647" t="inlineStr">
        <is>
          <t>V0022</t>
        </is>
      </c>
      <c r="D647" t="n">
        <v>9</v>
      </c>
      <c r="E647" t="n">
        <v>61400</v>
      </c>
      <c r="G647" t="n">
        <v>20251027</v>
      </c>
      <c r="H647" t="inlineStr">
        <is>
          <t>2025-10-27</t>
        </is>
      </c>
      <c r="I647" t="n">
        <v>20251126</v>
      </c>
      <c r="J647" t="inlineStr">
        <is>
          <t>2025-11-26</t>
        </is>
      </c>
      <c r="K647" s="9" t="n">
        <v>12079.03</v>
      </c>
      <c r="L647" t="inlineStr">
        <is>
          <t>USD</t>
        </is>
      </c>
      <c r="M647" s="4" t="n">
        <v>12079.03</v>
      </c>
      <c r="N647" t="inlineStr">
        <is>
          <t>Paid</t>
        </is>
      </c>
      <c r="O647" t="inlineStr">
        <is>
          <t>True</t>
        </is>
      </c>
      <c r="P647" t="n">
        <v>30</v>
      </c>
      <c r="Q647">
        <f>VLOOKUP(D647,GL_Accounts!$A$2:$E$1048576,5,FALSE)</f>
        <v/>
      </c>
      <c r="R647">
        <f>VLOOKUP(D647,GL_Accounts!$A$2:$E$1048576,4,FALSE)</f>
        <v/>
      </c>
    </row>
    <row r="648">
      <c r="A648" t="inlineStr">
        <is>
          <t>INV200647</t>
        </is>
      </c>
      <c r="B648" t="n">
        <v>6</v>
      </c>
      <c r="C648" t="inlineStr">
        <is>
          <t>V0006</t>
        </is>
      </c>
      <c r="D648" t="n">
        <v>8</v>
      </c>
      <c r="E648" t="n">
        <v>61300</v>
      </c>
      <c r="G648" t="n">
        <v>20251027</v>
      </c>
      <c r="H648" t="inlineStr">
        <is>
          <t>2025-10-27</t>
        </is>
      </c>
      <c r="I648" t="n">
        <v>20251111</v>
      </c>
      <c r="J648" t="inlineStr">
        <is>
          <t>2025-11-11</t>
        </is>
      </c>
      <c r="K648" s="9" t="n">
        <v>6218.67</v>
      </c>
      <c r="L648" t="inlineStr">
        <is>
          <t>USD</t>
        </is>
      </c>
      <c r="M648" s="4" t="n">
        <v>6218.67</v>
      </c>
      <c r="N648" t="inlineStr">
        <is>
          <t>Paid</t>
        </is>
      </c>
      <c r="O648" t="inlineStr">
        <is>
          <t>True</t>
        </is>
      </c>
      <c r="P648" t="n">
        <v>15</v>
      </c>
      <c r="Q648">
        <f>VLOOKUP(D648,GL_Accounts!$A$2:$E$1048576,5,FALSE)</f>
        <v/>
      </c>
      <c r="R648">
        <f>VLOOKUP(D648,GL_Accounts!$A$2:$E$1048576,4,FALSE)</f>
        <v/>
      </c>
    </row>
    <row r="649">
      <c r="A649" t="inlineStr">
        <is>
          <t>INV200648</t>
        </is>
      </c>
      <c r="B649" t="n">
        <v>3</v>
      </c>
      <c r="C649" t="inlineStr">
        <is>
          <t>V0003</t>
        </is>
      </c>
      <c r="D649" t="n">
        <v>2</v>
      </c>
      <c r="E649" t="n">
        <v>60110</v>
      </c>
      <c r="G649" t="n">
        <v>20250318</v>
      </c>
      <c r="H649" t="inlineStr">
        <is>
          <t>2025-03-18</t>
        </is>
      </c>
      <c r="I649" t="n">
        <v>20250502</v>
      </c>
      <c r="J649" t="inlineStr">
        <is>
          <t>2025-05-02</t>
        </is>
      </c>
      <c r="K649" s="9" t="n">
        <v>10012.8</v>
      </c>
      <c r="L649" t="inlineStr">
        <is>
          <t>USD</t>
        </is>
      </c>
      <c r="M649" s="4" t="n">
        <v>10012.8</v>
      </c>
      <c r="N649" t="inlineStr">
        <is>
          <t>Paid</t>
        </is>
      </c>
      <c r="O649" t="inlineStr">
        <is>
          <t>True</t>
        </is>
      </c>
      <c r="P649" t="n">
        <v>45</v>
      </c>
      <c r="Q649">
        <f>VLOOKUP(D649,GL_Accounts!$A$2:$E$1048576,5,FALSE)</f>
        <v/>
      </c>
      <c r="R649">
        <f>VLOOKUP(D649,GL_Accounts!$A$2:$E$1048576,4,FALSE)</f>
        <v/>
      </c>
    </row>
    <row r="650">
      <c r="A650" t="inlineStr">
        <is>
          <t>INV200649</t>
        </is>
      </c>
      <c r="B650" t="n">
        <v>34</v>
      </c>
      <c r="C650" t="inlineStr">
        <is>
          <t>V0034</t>
        </is>
      </c>
      <c r="D650" t="n">
        <v>15</v>
      </c>
      <c r="E650" t="n">
        <v>63200</v>
      </c>
      <c r="G650" t="n">
        <v>20251221</v>
      </c>
      <c r="H650" t="inlineStr">
        <is>
          <t>2025-12-21</t>
        </is>
      </c>
      <c r="I650" t="n">
        <v>20260105</v>
      </c>
      <c r="J650" t="inlineStr">
        <is>
          <t>2026-01-05</t>
        </is>
      </c>
      <c r="K650" s="9" t="n">
        <v>530.52</v>
      </c>
      <c r="L650" t="inlineStr">
        <is>
          <t>EUR</t>
        </is>
      </c>
      <c r="M650" s="4" t="n">
        <v>572.96</v>
      </c>
      <c r="N650" t="inlineStr">
        <is>
          <t>Paid</t>
        </is>
      </c>
      <c r="O650" t="inlineStr">
        <is>
          <t>True</t>
        </is>
      </c>
      <c r="P650" t="n">
        <v>15</v>
      </c>
      <c r="Q650">
        <f>VLOOKUP(D650,GL_Accounts!$A$2:$E$1048576,5,FALSE)</f>
        <v/>
      </c>
      <c r="R650">
        <f>VLOOKUP(D650,GL_Accounts!$A$2:$E$1048576,4,FALSE)</f>
        <v/>
      </c>
    </row>
    <row r="651">
      <c r="A651" t="inlineStr">
        <is>
          <t>INV200650</t>
        </is>
      </c>
      <c r="B651" t="n">
        <v>19</v>
      </c>
      <c r="C651" t="inlineStr">
        <is>
          <t>V0019</t>
        </is>
      </c>
      <c r="D651" t="n">
        <v>7</v>
      </c>
      <c r="E651" t="n">
        <v>61200</v>
      </c>
      <c r="G651" t="n">
        <v>20260529</v>
      </c>
      <c r="H651" t="inlineStr">
        <is>
          <t>2026-05-29</t>
        </is>
      </c>
      <c r="I651" t="n">
        <v>20260728</v>
      </c>
      <c r="J651" t="inlineStr">
        <is>
          <t>2026-07-28</t>
        </is>
      </c>
      <c r="K651" s="9" t="n">
        <v>9578.25</v>
      </c>
      <c r="L651" t="inlineStr">
        <is>
          <t>USD</t>
        </is>
      </c>
      <c r="M651" s="4" t="n">
        <v>9578.25</v>
      </c>
      <c r="N651" t="inlineStr">
        <is>
          <t>Paid</t>
        </is>
      </c>
      <c r="O651" t="inlineStr">
        <is>
          <t>True</t>
        </is>
      </c>
      <c r="P651" t="n">
        <v>60</v>
      </c>
      <c r="Q651">
        <f>VLOOKUP(D651,GL_Accounts!$A$2:$E$1048576,5,FALSE)</f>
        <v/>
      </c>
      <c r="R651">
        <f>VLOOKUP(D651,GL_Accounts!$A$2:$E$1048576,4,FALSE)</f>
        <v/>
      </c>
    </row>
    <row r="652">
      <c r="A652" t="inlineStr">
        <is>
          <t>INV200651</t>
        </is>
      </c>
      <c r="B652" t="n">
        <v>40</v>
      </c>
      <c r="C652" t="inlineStr">
        <is>
          <t>V0040</t>
        </is>
      </c>
      <c r="D652" t="n">
        <v>13</v>
      </c>
      <c r="E652" t="n">
        <v>62400</v>
      </c>
      <c r="G652" t="n">
        <v>20250729</v>
      </c>
      <c r="H652" t="inlineStr">
        <is>
          <t>2025-07-29</t>
        </is>
      </c>
      <c r="I652" t="n">
        <v>20250828</v>
      </c>
      <c r="J652" t="inlineStr">
        <is>
          <t>2025-08-28</t>
        </is>
      </c>
      <c r="K652" s="9" t="n">
        <v>620.67</v>
      </c>
      <c r="L652" t="inlineStr">
        <is>
          <t>USD</t>
        </is>
      </c>
      <c r="M652" s="4" t="n">
        <v>620.67</v>
      </c>
      <c r="N652" t="inlineStr">
        <is>
          <t>Paid</t>
        </is>
      </c>
      <c r="O652" t="inlineStr">
        <is>
          <t>True</t>
        </is>
      </c>
      <c r="P652" t="n">
        <v>30</v>
      </c>
      <c r="Q652">
        <f>VLOOKUP(D652,GL_Accounts!$A$2:$E$1048576,5,FALSE)</f>
        <v/>
      </c>
      <c r="R652">
        <f>VLOOKUP(D652,GL_Accounts!$A$2:$E$1048576,4,FALSE)</f>
        <v/>
      </c>
    </row>
    <row r="653">
      <c r="A653" t="inlineStr">
        <is>
          <t>INV200652</t>
        </is>
      </c>
      <c r="B653" t="n">
        <v>63</v>
      </c>
      <c r="C653" t="inlineStr">
        <is>
          <t>V0043</t>
        </is>
      </c>
      <c r="D653" t="n">
        <v>8</v>
      </c>
      <c r="E653" t="n">
        <v>61300</v>
      </c>
      <c r="G653" t="n">
        <v>20260506</v>
      </c>
      <c r="H653" t="inlineStr">
        <is>
          <t>2026-05-06</t>
        </is>
      </c>
      <c r="I653" t="n">
        <v>20260521</v>
      </c>
      <c r="J653" t="inlineStr">
        <is>
          <t>2026-05-21</t>
        </is>
      </c>
      <c r="K653" s="9" t="n">
        <v>2201.89</v>
      </c>
      <c r="L653" t="inlineStr">
        <is>
          <t>USD</t>
        </is>
      </c>
      <c r="M653" s="4" t="n">
        <v>2201.89</v>
      </c>
      <c r="N653" t="inlineStr">
        <is>
          <t>Unpaid</t>
        </is>
      </c>
      <c r="O653" t="inlineStr">
        <is>
          <t>True</t>
        </is>
      </c>
      <c r="P653" t="n">
        <v>15</v>
      </c>
      <c r="Q653">
        <f>VLOOKUP(D653,GL_Accounts!$A$2:$E$1048576,5,FALSE)</f>
        <v/>
      </c>
      <c r="R653">
        <f>VLOOKUP(D653,GL_Accounts!$A$2:$E$1048576,4,FALSE)</f>
        <v/>
      </c>
    </row>
    <row r="654">
      <c r="A654" t="inlineStr">
        <is>
          <t>INV200653</t>
        </is>
      </c>
      <c r="B654" t="n">
        <v>15</v>
      </c>
      <c r="C654" t="inlineStr">
        <is>
          <t>V0015</t>
        </is>
      </c>
      <c r="D654" t="n">
        <v>2</v>
      </c>
      <c r="E654" t="n">
        <v>60110</v>
      </c>
      <c r="G654" t="n">
        <v>20250314</v>
      </c>
      <c r="H654" t="inlineStr">
        <is>
          <t>2025-03-14</t>
        </is>
      </c>
      <c r="I654" t="n">
        <v>20250413</v>
      </c>
      <c r="J654" t="inlineStr">
        <is>
          <t>2025-04-13</t>
        </is>
      </c>
      <c r="K654" s="9" t="n">
        <v>9597.92</v>
      </c>
      <c r="L654" t="inlineStr">
        <is>
          <t>USD</t>
        </is>
      </c>
      <c r="M654" s="4" t="n">
        <v>9597.92</v>
      </c>
      <c r="N654" t="inlineStr">
        <is>
          <t>Unpaid</t>
        </is>
      </c>
      <c r="O654" t="inlineStr">
        <is>
          <t>True</t>
        </is>
      </c>
      <c r="P654" t="n">
        <v>30</v>
      </c>
      <c r="Q654">
        <f>VLOOKUP(D654,GL_Accounts!$A$2:$E$1048576,5,FALSE)</f>
        <v/>
      </c>
      <c r="R654">
        <f>VLOOKUP(D654,GL_Accounts!$A$2:$E$1048576,4,FALSE)</f>
        <v/>
      </c>
    </row>
    <row r="655">
      <c r="A655" t="inlineStr">
        <is>
          <t>INV200654</t>
        </is>
      </c>
      <c r="B655" t="n">
        <v>11</v>
      </c>
      <c r="C655" t="inlineStr">
        <is>
          <t>V0011</t>
        </is>
      </c>
      <c r="D655" t="n">
        <v>7</v>
      </c>
      <c r="E655" t="n">
        <v>61200</v>
      </c>
      <c r="G655" t="n">
        <v>20251218</v>
      </c>
      <c r="H655" t="inlineStr">
        <is>
          <t>2025-12-18</t>
        </is>
      </c>
      <c r="I655" t="n">
        <v>20260201</v>
      </c>
      <c r="J655" t="inlineStr">
        <is>
          <t>2026-02-01</t>
        </is>
      </c>
      <c r="K655" s="9" t="n">
        <v>4786.54</v>
      </c>
      <c r="L655" t="inlineStr">
        <is>
          <t>GBP</t>
        </is>
      </c>
      <c r="M655" s="4" t="n">
        <v>6078.91</v>
      </c>
      <c r="N655" t="inlineStr">
        <is>
          <t>Paid</t>
        </is>
      </c>
      <c r="O655" t="inlineStr">
        <is>
          <t>True</t>
        </is>
      </c>
      <c r="P655" t="n">
        <v>45</v>
      </c>
      <c r="Q655">
        <f>VLOOKUP(D655,GL_Accounts!$A$2:$E$1048576,5,FALSE)</f>
        <v/>
      </c>
      <c r="R655">
        <f>VLOOKUP(D655,GL_Accounts!$A$2:$E$1048576,4,FALSE)</f>
        <v/>
      </c>
    </row>
    <row r="656">
      <c r="A656" t="inlineStr">
        <is>
          <t>INV200655</t>
        </is>
      </c>
      <c r="B656" t="n">
        <v>47</v>
      </c>
      <c r="C656" t="inlineStr">
        <is>
          <t>V0047</t>
        </is>
      </c>
      <c r="D656" t="n">
        <v>20</v>
      </c>
      <c r="E656" t="n">
        <v>65100</v>
      </c>
      <c r="G656" t="n">
        <v>20251116</v>
      </c>
      <c r="H656" t="inlineStr">
        <is>
          <t>2025-11-16</t>
        </is>
      </c>
      <c r="I656" t="n">
        <v>20251216</v>
      </c>
      <c r="J656" t="inlineStr">
        <is>
          <t>2025-12-16</t>
        </is>
      </c>
      <c r="K656" s="9" t="n">
        <v>943</v>
      </c>
      <c r="L656" t="inlineStr">
        <is>
          <t>USD</t>
        </is>
      </c>
      <c r="M656" s="4" t="n">
        <v>943</v>
      </c>
      <c r="N656" t="inlineStr">
        <is>
          <t>Paid</t>
        </is>
      </c>
      <c r="O656" t="inlineStr">
        <is>
          <t>True</t>
        </is>
      </c>
      <c r="P656" t="n">
        <v>30</v>
      </c>
      <c r="Q656">
        <f>VLOOKUP(D656,GL_Accounts!$A$2:$E$1048576,5,FALSE)</f>
        <v/>
      </c>
      <c r="R656">
        <f>VLOOKUP(D656,GL_Accounts!$A$2:$E$1048576,4,FALSE)</f>
        <v/>
      </c>
    </row>
    <row r="657">
      <c r="A657" t="inlineStr">
        <is>
          <t>INV200656</t>
        </is>
      </c>
      <c r="B657" t="n">
        <v>17</v>
      </c>
      <c r="C657" t="inlineStr">
        <is>
          <t>V0017</t>
        </is>
      </c>
      <c r="D657" t="n">
        <v>8</v>
      </c>
      <c r="E657" t="n">
        <v>61300</v>
      </c>
      <c r="G657" t="n">
        <v>20260614</v>
      </c>
      <c r="H657" t="inlineStr">
        <is>
          <t>2026-06-14</t>
        </is>
      </c>
      <c r="I657" t="n">
        <v>20260729</v>
      </c>
      <c r="J657" t="inlineStr">
        <is>
          <t>2026-07-29</t>
        </is>
      </c>
      <c r="K657" s="9" t="n">
        <v>2966.31</v>
      </c>
      <c r="L657" t="inlineStr">
        <is>
          <t>USD</t>
        </is>
      </c>
      <c r="M657" s="4" t="n">
        <v>2966.31</v>
      </c>
      <c r="N657" t="inlineStr">
        <is>
          <t>Paid</t>
        </is>
      </c>
      <c r="O657" t="inlineStr">
        <is>
          <t>True</t>
        </is>
      </c>
      <c r="P657" t="n">
        <v>45</v>
      </c>
      <c r="Q657">
        <f>VLOOKUP(D657,GL_Accounts!$A$2:$E$1048576,5,FALSE)</f>
        <v/>
      </c>
      <c r="R657">
        <f>VLOOKUP(D657,GL_Accounts!$A$2:$E$1048576,4,FALSE)</f>
        <v/>
      </c>
    </row>
    <row r="658">
      <c r="A658" t="inlineStr">
        <is>
          <t>INV200657</t>
        </is>
      </c>
      <c r="B658" t="n">
        <v>12</v>
      </c>
      <c r="C658" t="inlineStr">
        <is>
          <t>V0012</t>
        </is>
      </c>
      <c r="D658" t="n">
        <v>13</v>
      </c>
      <c r="E658" t="n">
        <v>62400</v>
      </c>
      <c r="G658" t="n">
        <v>20241002</v>
      </c>
      <c r="H658" t="inlineStr">
        <is>
          <t>2024-10-02</t>
        </is>
      </c>
      <c r="I658" t="n">
        <v>20241101</v>
      </c>
      <c r="J658" t="inlineStr">
        <is>
          <t>2024-11-01</t>
        </is>
      </c>
      <c r="K658" s="9" t="n">
        <v>685.51</v>
      </c>
      <c r="L658" t="inlineStr">
        <is>
          <t>USD</t>
        </is>
      </c>
      <c r="M658" s="4" t="n">
        <v>685.51</v>
      </c>
      <c r="N658" t="inlineStr">
        <is>
          <t>Paid</t>
        </is>
      </c>
      <c r="O658" t="inlineStr">
        <is>
          <t>True</t>
        </is>
      </c>
      <c r="P658" t="n">
        <v>30</v>
      </c>
      <c r="Q658">
        <f>VLOOKUP(D658,GL_Accounts!$A$2:$E$1048576,5,FALSE)</f>
        <v/>
      </c>
      <c r="R658">
        <f>VLOOKUP(D658,GL_Accounts!$A$2:$E$1048576,4,FALSE)</f>
        <v/>
      </c>
    </row>
    <row r="659">
      <c r="A659" t="inlineStr">
        <is>
          <t>INV200658</t>
        </is>
      </c>
      <c r="B659" t="n">
        <v>28</v>
      </c>
      <c r="C659" t="inlineStr">
        <is>
          <t>V0028</t>
        </is>
      </c>
      <c r="D659" t="n">
        <v>16</v>
      </c>
      <c r="E659" t="n">
        <v>63300</v>
      </c>
      <c r="G659" t="n">
        <v>20260131</v>
      </c>
      <c r="H659" t="inlineStr">
        <is>
          <t>2026-01-31</t>
        </is>
      </c>
      <c r="I659" t="n">
        <v>20260401</v>
      </c>
      <c r="J659" t="inlineStr">
        <is>
          <t>2026-04-01</t>
        </is>
      </c>
      <c r="K659" s="9" t="n">
        <v>5448.27</v>
      </c>
      <c r="L659" t="inlineStr">
        <is>
          <t>USD</t>
        </is>
      </c>
      <c r="M659" s="4" t="n">
        <v>5448.27</v>
      </c>
      <c r="N659" t="inlineStr">
        <is>
          <t>Paid</t>
        </is>
      </c>
      <c r="O659" t="inlineStr">
        <is>
          <t>True</t>
        </is>
      </c>
      <c r="P659" t="n">
        <v>60</v>
      </c>
      <c r="Q659">
        <f>VLOOKUP(D659,GL_Accounts!$A$2:$E$1048576,5,FALSE)</f>
        <v/>
      </c>
      <c r="R659">
        <f>VLOOKUP(D659,GL_Accounts!$A$2:$E$1048576,4,FALSE)</f>
        <v/>
      </c>
    </row>
    <row r="660">
      <c r="A660" t="inlineStr">
        <is>
          <t>INV200659</t>
        </is>
      </c>
      <c r="B660" t="n">
        <v>7</v>
      </c>
      <c r="C660" t="inlineStr">
        <is>
          <t>V0007</t>
        </is>
      </c>
      <c r="D660" t="n">
        <v>6</v>
      </c>
      <c r="E660" t="n">
        <v>61100</v>
      </c>
      <c r="F660" t="inlineStr">
        <is>
          <t>PO100074</t>
        </is>
      </c>
      <c r="G660" t="n">
        <v>20251020</v>
      </c>
      <c r="H660" t="inlineStr">
        <is>
          <t>2025-10-20</t>
        </is>
      </c>
      <c r="I660" t="n">
        <v>20251204</v>
      </c>
      <c r="J660" t="inlineStr">
        <is>
          <t>2025-12-04</t>
        </is>
      </c>
      <c r="K660" s="9" t="n">
        <v>3831.27</v>
      </c>
      <c r="L660" t="inlineStr">
        <is>
          <t>USD</t>
        </is>
      </c>
      <c r="M660" s="4" t="n">
        <v>3831.27</v>
      </c>
      <c r="N660" t="inlineStr">
        <is>
          <t>Paid</t>
        </is>
      </c>
      <c r="O660" t="inlineStr">
        <is>
          <t>False</t>
        </is>
      </c>
      <c r="P660" t="n">
        <v>45</v>
      </c>
      <c r="Q660">
        <f>VLOOKUP(D660,GL_Accounts!$A$2:$E$1048576,5,FALSE)</f>
        <v/>
      </c>
      <c r="R660">
        <f>VLOOKUP(D660,GL_Accounts!$A$2:$E$1048576,4,FALSE)</f>
        <v/>
      </c>
    </row>
    <row r="661">
      <c r="A661" t="inlineStr">
        <is>
          <t>INV200660</t>
        </is>
      </c>
      <c r="B661" t="n">
        <v>48</v>
      </c>
      <c r="C661" t="inlineStr">
        <is>
          <t>V0048</t>
        </is>
      </c>
      <c r="D661" t="n">
        <v>4</v>
      </c>
      <c r="E661" t="n">
        <v>60200</v>
      </c>
      <c r="F661" t="inlineStr">
        <is>
          <t>PO100225</t>
        </is>
      </c>
      <c r="G661" t="n">
        <v>20250513</v>
      </c>
      <c r="H661" t="inlineStr">
        <is>
          <t>2025-05-13</t>
        </is>
      </c>
      <c r="I661" t="n">
        <v>20250627</v>
      </c>
      <c r="J661" t="inlineStr">
        <is>
          <t>2025-06-27</t>
        </is>
      </c>
      <c r="K661" s="9" t="n">
        <v>3873.59</v>
      </c>
      <c r="L661" t="inlineStr">
        <is>
          <t>USD</t>
        </is>
      </c>
      <c r="M661" s="4" t="n">
        <v>3873.59</v>
      </c>
      <c r="N661" t="inlineStr">
        <is>
          <t>Paid</t>
        </is>
      </c>
      <c r="O661" t="inlineStr">
        <is>
          <t>False</t>
        </is>
      </c>
      <c r="P661" t="n">
        <v>45</v>
      </c>
      <c r="Q661">
        <f>VLOOKUP(D661,GL_Accounts!$A$2:$E$1048576,5,FALSE)</f>
        <v/>
      </c>
      <c r="R661">
        <f>VLOOKUP(D661,GL_Accounts!$A$2:$E$1048576,4,FALSE)</f>
        <v/>
      </c>
    </row>
    <row r="662">
      <c r="A662" t="inlineStr">
        <is>
          <t>INV200661</t>
        </is>
      </c>
      <c r="B662" t="n">
        <v>48</v>
      </c>
      <c r="C662" t="inlineStr">
        <is>
          <t>V0048</t>
        </is>
      </c>
      <c r="D662" t="n">
        <v>3</v>
      </c>
      <c r="E662" t="n">
        <v>60120</v>
      </c>
      <c r="F662" t="inlineStr">
        <is>
          <t>PO100131</t>
        </is>
      </c>
      <c r="G662" t="n">
        <v>20250526</v>
      </c>
      <c r="H662" t="inlineStr">
        <is>
          <t>2025-05-26</t>
        </is>
      </c>
      <c r="I662" t="n">
        <v>20250710</v>
      </c>
      <c r="J662" t="inlineStr">
        <is>
          <t>2025-07-10</t>
        </is>
      </c>
      <c r="K662" s="9" t="n">
        <v>3074.08</v>
      </c>
      <c r="L662" t="inlineStr">
        <is>
          <t>USD</t>
        </is>
      </c>
      <c r="M662" s="4" t="n">
        <v>3074.08</v>
      </c>
      <c r="N662" t="inlineStr">
        <is>
          <t>Paid</t>
        </is>
      </c>
      <c r="O662" t="inlineStr">
        <is>
          <t>False</t>
        </is>
      </c>
      <c r="P662" t="n">
        <v>45</v>
      </c>
      <c r="Q662">
        <f>VLOOKUP(D662,GL_Accounts!$A$2:$E$1048576,5,FALSE)</f>
        <v/>
      </c>
      <c r="R662">
        <f>VLOOKUP(D662,GL_Accounts!$A$2:$E$1048576,4,FALSE)</f>
        <v/>
      </c>
    </row>
    <row r="663">
      <c r="A663" t="inlineStr">
        <is>
          <t>INV200662</t>
        </is>
      </c>
      <c r="B663" t="n">
        <v>60</v>
      </c>
      <c r="C663" t="inlineStr">
        <is>
          <t>V0001</t>
        </is>
      </c>
      <c r="D663" t="n">
        <v>1</v>
      </c>
      <c r="E663" t="n">
        <v>60100</v>
      </c>
      <c r="F663" t="inlineStr">
        <is>
          <t>PO100105</t>
        </is>
      </c>
      <c r="G663" t="n">
        <v>20260813</v>
      </c>
      <c r="H663" t="inlineStr">
        <is>
          <t>2026-08-13</t>
        </is>
      </c>
      <c r="I663" t="n">
        <v>20260927</v>
      </c>
      <c r="J663" t="inlineStr">
        <is>
          <t>2026-09-27</t>
        </is>
      </c>
      <c r="K663" s="9" t="n">
        <v>7731.38</v>
      </c>
      <c r="L663" t="inlineStr">
        <is>
          <t>USD</t>
        </is>
      </c>
      <c r="M663" s="4" t="n">
        <v>7731.38</v>
      </c>
      <c r="N663" t="inlineStr">
        <is>
          <t>Unpaid</t>
        </is>
      </c>
      <c r="O663" t="inlineStr">
        <is>
          <t>False</t>
        </is>
      </c>
      <c r="P663" t="n">
        <v>45</v>
      </c>
      <c r="Q663">
        <f>VLOOKUP(D663,GL_Accounts!$A$2:$E$1048576,5,FALSE)</f>
        <v/>
      </c>
      <c r="R663">
        <f>VLOOKUP(D663,GL_Accounts!$A$2:$E$1048576,4,FALSE)</f>
        <v/>
      </c>
    </row>
    <row r="664">
      <c r="A664" t="inlineStr">
        <is>
          <t>INV200663</t>
        </is>
      </c>
      <c r="B664" t="n">
        <v>40</v>
      </c>
      <c r="C664" t="inlineStr">
        <is>
          <t>V0040</t>
        </is>
      </c>
      <c r="D664" t="n">
        <v>10</v>
      </c>
      <c r="E664" t="n">
        <v>62100</v>
      </c>
      <c r="F664" t="inlineStr">
        <is>
          <t>PO100196</t>
        </is>
      </c>
      <c r="G664" t="n">
        <v>20250104</v>
      </c>
      <c r="H664" t="inlineStr">
        <is>
          <t>2025-01-04</t>
        </is>
      </c>
      <c r="I664" t="n">
        <v>20250203</v>
      </c>
      <c r="J664" t="inlineStr">
        <is>
          <t>2025-02-03</t>
        </is>
      </c>
      <c r="K664" s="9" t="n">
        <v>1552.99</v>
      </c>
      <c r="L664" t="inlineStr">
        <is>
          <t>USD</t>
        </is>
      </c>
      <c r="M664" s="4" t="n">
        <v>1552.99</v>
      </c>
      <c r="N664" t="inlineStr">
        <is>
          <t>Paid</t>
        </is>
      </c>
      <c r="O664" t="inlineStr">
        <is>
          <t>False</t>
        </is>
      </c>
      <c r="P664" t="n">
        <v>30</v>
      </c>
      <c r="Q664">
        <f>VLOOKUP(D664,GL_Accounts!$A$2:$E$1048576,5,FALSE)</f>
        <v/>
      </c>
      <c r="R664">
        <f>VLOOKUP(D664,GL_Accounts!$A$2:$E$1048576,4,FALSE)</f>
        <v/>
      </c>
    </row>
    <row r="665">
      <c r="A665" t="inlineStr">
        <is>
          <t>INV200664</t>
        </is>
      </c>
      <c r="B665" t="n">
        <v>9</v>
      </c>
      <c r="C665" t="inlineStr">
        <is>
          <t>V0009</t>
        </is>
      </c>
      <c r="D665" t="n">
        <v>7</v>
      </c>
      <c r="E665" t="n">
        <v>61200</v>
      </c>
      <c r="F665" t="inlineStr">
        <is>
          <t>PO100173</t>
        </is>
      </c>
      <c r="G665" t="n">
        <v>20250923</v>
      </c>
      <c r="H665" t="inlineStr">
        <is>
          <t>2025-09-23</t>
        </is>
      </c>
      <c r="I665" t="n">
        <v>20251008</v>
      </c>
      <c r="J665" t="inlineStr">
        <is>
          <t>2025-10-08</t>
        </is>
      </c>
      <c r="K665" s="9" t="n">
        <v>3103.72</v>
      </c>
      <c r="L665" t="inlineStr">
        <is>
          <t>USD</t>
        </is>
      </c>
      <c r="M665" s="4" t="n">
        <v>3103.72</v>
      </c>
      <c r="N665" t="inlineStr">
        <is>
          <t>Paid</t>
        </is>
      </c>
      <c r="O665" t="inlineStr">
        <is>
          <t>False</t>
        </is>
      </c>
      <c r="P665" t="n">
        <v>15</v>
      </c>
      <c r="Q665">
        <f>VLOOKUP(D665,GL_Accounts!$A$2:$E$1048576,5,FALSE)</f>
        <v/>
      </c>
      <c r="R665">
        <f>VLOOKUP(D665,GL_Accounts!$A$2:$E$1048576,4,FALSE)</f>
        <v/>
      </c>
    </row>
    <row r="666">
      <c r="A666" t="inlineStr">
        <is>
          <t>INV200665</t>
        </is>
      </c>
      <c r="B666" t="n">
        <v>35</v>
      </c>
      <c r="C666" t="inlineStr">
        <is>
          <t>V0035</t>
        </is>
      </c>
      <c r="D666" t="n">
        <v>8</v>
      </c>
      <c r="E666" t="n">
        <v>61300</v>
      </c>
      <c r="F666" t="inlineStr">
        <is>
          <t>PO100376</t>
        </is>
      </c>
      <c r="G666" t="n">
        <v>20260214</v>
      </c>
      <c r="H666" t="inlineStr">
        <is>
          <t>2026-02-14</t>
        </is>
      </c>
      <c r="I666" t="n">
        <v>20260316</v>
      </c>
      <c r="J666" t="inlineStr">
        <is>
          <t>2026-03-16</t>
        </is>
      </c>
      <c r="K666" s="9" t="n">
        <v>2335.37</v>
      </c>
      <c r="L666" t="inlineStr">
        <is>
          <t>GBP</t>
        </is>
      </c>
      <c r="M666" s="4" t="n">
        <v>2965.92</v>
      </c>
      <c r="N666" t="inlineStr">
        <is>
          <t>Paid</t>
        </is>
      </c>
      <c r="O666" t="inlineStr">
        <is>
          <t>False</t>
        </is>
      </c>
      <c r="P666" t="n">
        <v>30</v>
      </c>
      <c r="Q666">
        <f>VLOOKUP(D666,GL_Accounts!$A$2:$E$1048576,5,FALSE)</f>
        <v/>
      </c>
      <c r="R666">
        <f>VLOOKUP(D666,GL_Accounts!$A$2:$E$1048576,4,FALSE)</f>
        <v/>
      </c>
    </row>
    <row r="667">
      <c r="A667" t="inlineStr">
        <is>
          <t>INV200666</t>
        </is>
      </c>
      <c r="B667" t="n">
        <v>42</v>
      </c>
      <c r="C667" t="inlineStr">
        <is>
          <t>V0042</t>
        </is>
      </c>
      <c r="D667" t="n">
        <v>18</v>
      </c>
      <c r="E667" t="n">
        <v>64200</v>
      </c>
      <c r="F667" t="inlineStr">
        <is>
          <t>PO100070</t>
        </is>
      </c>
      <c r="G667" t="n">
        <v>20250812</v>
      </c>
      <c r="H667" t="inlineStr">
        <is>
          <t>2025-08-12</t>
        </is>
      </c>
      <c r="I667" t="n">
        <v>20250926</v>
      </c>
      <c r="J667" t="inlineStr">
        <is>
          <t>2025-09-26</t>
        </is>
      </c>
      <c r="K667" s="9" t="n">
        <v>22823.14</v>
      </c>
      <c r="L667" t="inlineStr">
        <is>
          <t>USD</t>
        </is>
      </c>
      <c r="M667" s="4" t="n">
        <v>22823.14</v>
      </c>
      <c r="N667" t="inlineStr">
        <is>
          <t>Paid</t>
        </is>
      </c>
      <c r="O667" t="inlineStr">
        <is>
          <t>False</t>
        </is>
      </c>
      <c r="P667" t="n">
        <v>45</v>
      </c>
      <c r="Q667">
        <f>VLOOKUP(D667,GL_Accounts!$A$2:$E$1048576,5,FALSE)</f>
        <v/>
      </c>
      <c r="R667">
        <f>VLOOKUP(D667,GL_Accounts!$A$2:$E$1048576,4,FALSE)</f>
        <v/>
      </c>
    </row>
    <row r="668">
      <c r="A668" t="inlineStr">
        <is>
          <t>INV200667</t>
        </is>
      </c>
      <c r="B668" t="n">
        <v>16</v>
      </c>
      <c r="C668" t="inlineStr">
        <is>
          <t>V0016</t>
        </is>
      </c>
      <c r="D668" t="n">
        <v>18</v>
      </c>
      <c r="E668" t="n">
        <v>64200</v>
      </c>
      <c r="F668" t="inlineStr">
        <is>
          <t>PO100279</t>
        </is>
      </c>
      <c r="G668" t="n">
        <v>20260603</v>
      </c>
      <c r="H668" t="inlineStr">
        <is>
          <t>2026-06-03</t>
        </is>
      </c>
      <c r="I668" t="n">
        <v>20260703</v>
      </c>
      <c r="J668" t="inlineStr">
        <is>
          <t>2026-07-03</t>
        </is>
      </c>
      <c r="K668" s="9" t="n">
        <v>4914.88</v>
      </c>
      <c r="L668" t="inlineStr">
        <is>
          <t>USD</t>
        </is>
      </c>
      <c r="M668" s="4" t="n">
        <v>4914.88</v>
      </c>
      <c r="N668" t="inlineStr">
        <is>
          <t>Paid</t>
        </is>
      </c>
      <c r="O668" t="inlineStr">
        <is>
          <t>False</t>
        </is>
      </c>
      <c r="P668" t="n">
        <v>30</v>
      </c>
      <c r="Q668">
        <f>VLOOKUP(D668,GL_Accounts!$A$2:$E$1048576,5,FALSE)</f>
        <v/>
      </c>
      <c r="R668">
        <f>VLOOKUP(D668,GL_Accounts!$A$2:$E$1048576,4,FALSE)</f>
        <v/>
      </c>
    </row>
    <row r="669">
      <c r="A669" t="inlineStr">
        <is>
          <t>INV200668</t>
        </is>
      </c>
      <c r="B669" t="n">
        <v>40</v>
      </c>
      <c r="C669" t="inlineStr">
        <is>
          <t>V0040</t>
        </is>
      </c>
      <c r="D669" t="n">
        <v>13</v>
      </c>
      <c r="E669" t="n">
        <v>62400</v>
      </c>
      <c r="F669" t="inlineStr">
        <is>
          <t>PO100045</t>
        </is>
      </c>
      <c r="G669" t="n">
        <v>20260224</v>
      </c>
      <c r="H669" t="inlineStr">
        <is>
          <t>2026-02-24</t>
        </is>
      </c>
      <c r="I669" t="n">
        <v>20260326</v>
      </c>
      <c r="J669" t="inlineStr">
        <is>
          <t>2026-03-26</t>
        </is>
      </c>
      <c r="K669" s="9" t="n">
        <v>1415.49</v>
      </c>
      <c r="L669" t="inlineStr">
        <is>
          <t>USD</t>
        </is>
      </c>
      <c r="M669" s="4" t="n">
        <v>1415.49</v>
      </c>
      <c r="N669" t="inlineStr">
        <is>
          <t>Paid</t>
        </is>
      </c>
      <c r="O669" t="inlineStr">
        <is>
          <t>False</t>
        </is>
      </c>
      <c r="P669" t="n">
        <v>30</v>
      </c>
      <c r="Q669">
        <f>VLOOKUP(D669,GL_Accounts!$A$2:$E$1048576,5,FALSE)</f>
        <v/>
      </c>
      <c r="R669">
        <f>VLOOKUP(D669,GL_Accounts!$A$2:$E$1048576,4,FALSE)</f>
        <v/>
      </c>
    </row>
    <row r="670">
      <c r="A670" t="inlineStr">
        <is>
          <t>INV200669</t>
        </is>
      </c>
      <c r="B670" t="n">
        <v>9</v>
      </c>
      <c r="C670" t="inlineStr">
        <is>
          <t>V0009</t>
        </is>
      </c>
      <c r="D670" t="n">
        <v>9</v>
      </c>
      <c r="E670" t="n">
        <v>61400</v>
      </c>
      <c r="F670" t="inlineStr">
        <is>
          <t>PO100072</t>
        </is>
      </c>
      <c r="G670" t="n">
        <v>20250129</v>
      </c>
      <c r="H670" t="inlineStr">
        <is>
          <t>2025-01-29</t>
        </is>
      </c>
      <c r="I670" t="n">
        <v>20250213</v>
      </c>
      <c r="J670" t="inlineStr">
        <is>
          <t>2025-02-13</t>
        </is>
      </c>
      <c r="K670" s="9" t="n">
        <v>5523.49</v>
      </c>
      <c r="L670" t="inlineStr">
        <is>
          <t>USD</t>
        </is>
      </c>
      <c r="M670" s="4" t="n">
        <v>5523.49</v>
      </c>
      <c r="N670" t="inlineStr">
        <is>
          <t>Paid</t>
        </is>
      </c>
      <c r="O670" t="inlineStr">
        <is>
          <t>False</t>
        </is>
      </c>
      <c r="P670" t="n">
        <v>15</v>
      </c>
      <c r="Q670">
        <f>VLOOKUP(D670,GL_Accounts!$A$2:$E$1048576,5,FALSE)</f>
        <v/>
      </c>
      <c r="R670">
        <f>VLOOKUP(D670,GL_Accounts!$A$2:$E$1048576,4,FALSE)</f>
        <v/>
      </c>
    </row>
    <row r="671">
      <c r="A671" t="inlineStr">
        <is>
          <t>INV200670</t>
        </is>
      </c>
      <c r="B671" t="n">
        <v>18</v>
      </c>
      <c r="C671" t="inlineStr">
        <is>
          <t>V0018</t>
        </is>
      </c>
      <c r="D671" t="n">
        <v>10</v>
      </c>
      <c r="E671" t="n">
        <v>62100</v>
      </c>
      <c r="F671" t="inlineStr">
        <is>
          <t>PO100129</t>
        </is>
      </c>
      <c r="G671" t="n">
        <v>20250823</v>
      </c>
      <c r="H671" t="inlineStr">
        <is>
          <t>2025-08-23</t>
        </is>
      </c>
      <c r="I671" t="n">
        <v>20250922</v>
      </c>
      <c r="J671" t="inlineStr">
        <is>
          <t>2025-09-22</t>
        </is>
      </c>
      <c r="K671" s="9" t="n">
        <v>1471.28</v>
      </c>
      <c r="L671" t="inlineStr">
        <is>
          <t>USD</t>
        </is>
      </c>
      <c r="M671" s="4" t="n">
        <v>1471.28</v>
      </c>
      <c r="N671" t="inlineStr">
        <is>
          <t>Paid</t>
        </is>
      </c>
      <c r="O671" t="inlineStr">
        <is>
          <t>False</t>
        </is>
      </c>
      <c r="P671" t="n">
        <v>30</v>
      </c>
      <c r="Q671">
        <f>VLOOKUP(D671,GL_Accounts!$A$2:$E$1048576,5,FALSE)</f>
        <v/>
      </c>
      <c r="R671">
        <f>VLOOKUP(D671,GL_Accounts!$A$2:$E$1048576,4,FALSE)</f>
        <v/>
      </c>
    </row>
    <row r="672">
      <c r="A672" t="inlineStr">
        <is>
          <t>INV200671</t>
        </is>
      </c>
      <c r="B672" t="n">
        <v>16</v>
      </c>
      <c r="C672" t="inlineStr">
        <is>
          <t>V0016</t>
        </is>
      </c>
      <c r="D672" t="n">
        <v>18</v>
      </c>
      <c r="E672" t="n">
        <v>64200</v>
      </c>
      <c r="F672" t="inlineStr">
        <is>
          <t>PO100204</t>
        </is>
      </c>
      <c r="G672" t="n">
        <v>20250808</v>
      </c>
      <c r="H672" t="inlineStr">
        <is>
          <t>2025-08-08</t>
        </is>
      </c>
      <c r="I672" t="n">
        <v>20250907</v>
      </c>
      <c r="J672" t="inlineStr">
        <is>
          <t>2025-09-07</t>
        </is>
      </c>
      <c r="K672" s="9" t="n">
        <v>23938.61</v>
      </c>
      <c r="L672" t="inlineStr">
        <is>
          <t>USD</t>
        </is>
      </c>
      <c r="M672" s="4" t="n">
        <v>23938.61</v>
      </c>
      <c r="N672" t="inlineStr">
        <is>
          <t>Paid</t>
        </is>
      </c>
      <c r="O672" t="inlineStr">
        <is>
          <t>False</t>
        </is>
      </c>
      <c r="P672" t="n">
        <v>30</v>
      </c>
      <c r="Q672">
        <f>VLOOKUP(D672,GL_Accounts!$A$2:$E$1048576,5,FALSE)</f>
        <v/>
      </c>
      <c r="R672">
        <f>VLOOKUP(D672,GL_Accounts!$A$2:$E$1048576,4,FALSE)</f>
        <v/>
      </c>
    </row>
    <row r="673">
      <c r="A673" t="inlineStr">
        <is>
          <t>INV200672</t>
        </is>
      </c>
      <c r="B673" t="n">
        <v>24</v>
      </c>
      <c r="C673" t="inlineStr">
        <is>
          <t>V0024</t>
        </is>
      </c>
      <c r="D673" t="n">
        <v>17</v>
      </c>
      <c r="E673" t="n">
        <v>64100</v>
      </c>
      <c r="F673" t="inlineStr">
        <is>
          <t>PO100474</t>
        </is>
      </c>
      <c r="G673" t="n">
        <v>20241127</v>
      </c>
      <c r="H673" t="inlineStr">
        <is>
          <t>2024-11-27</t>
        </is>
      </c>
      <c r="I673" t="n">
        <v>20241212</v>
      </c>
      <c r="J673" t="inlineStr">
        <is>
          <t>2024-12-12</t>
        </is>
      </c>
      <c r="K673" s="9" t="n">
        <v>8928.639999999999</v>
      </c>
      <c r="L673" t="inlineStr">
        <is>
          <t>USD</t>
        </is>
      </c>
      <c r="M673" s="4" t="n">
        <v>8928.639999999999</v>
      </c>
      <c r="N673" t="inlineStr">
        <is>
          <t>Paid</t>
        </is>
      </c>
      <c r="O673" t="inlineStr">
        <is>
          <t>False</t>
        </is>
      </c>
      <c r="P673" t="n">
        <v>15</v>
      </c>
      <c r="Q673">
        <f>VLOOKUP(D673,GL_Accounts!$A$2:$E$1048576,5,FALSE)</f>
        <v/>
      </c>
      <c r="R673">
        <f>VLOOKUP(D673,GL_Accounts!$A$2:$E$1048576,4,FALSE)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1" t="inlineStr">
        <is>
          <t>Actual Spend by Cost Center</t>
        </is>
      </c>
    </row>
    <row r="3">
      <c r="A3" s="3" t="inlineStr">
        <is>
          <t>Department</t>
        </is>
      </c>
      <c r="B3" s="3" t="inlineStr">
        <is>
          <t>Cost Center</t>
        </is>
      </c>
      <c r="C3" s="3" t="inlineStr">
        <is>
          <t>Actual</t>
        </is>
      </c>
    </row>
    <row r="4">
      <c r="A4" t="inlineStr">
        <is>
          <t>Corporate</t>
        </is>
      </c>
      <c r="B4" t="inlineStr">
        <is>
          <t>CC-5010</t>
        </is>
      </c>
      <c r="C4" s="4">
        <f>SUMIFS(Invoices!$M$2:$M$673,Invoices!$Q$2:$Q$673,$A4,Invoices!$R$2:$R$673,$B4)</f>
        <v/>
      </c>
    </row>
    <row r="5">
      <c r="A5" t="inlineStr">
        <is>
          <t>Facilities</t>
        </is>
      </c>
      <c r="B5" t="inlineStr">
        <is>
          <t>CC-7010</t>
        </is>
      </c>
      <c r="C5" s="4">
        <f>SUMIFS(Invoices!$M$2:$M$673,Invoices!$Q$2:$Q$673,$A5,Invoices!$R$2:$R$673,$B5)</f>
        <v/>
      </c>
    </row>
    <row r="6">
      <c r="A6" t="inlineStr">
        <is>
          <t>Finance</t>
        </is>
      </c>
      <c r="B6" t="inlineStr">
        <is>
          <t>CC-4010</t>
        </is>
      </c>
      <c r="C6" s="4">
        <f>SUMIFS(Invoices!$M$2:$M$673,Invoices!$Q$2:$Q$673,$A6,Invoices!$R$2:$R$673,$B6)</f>
        <v/>
      </c>
    </row>
    <row r="7">
      <c r="A7" t="inlineStr">
        <is>
          <t>Finance</t>
        </is>
      </c>
      <c r="B7" t="inlineStr">
        <is>
          <t>CC-4020</t>
        </is>
      </c>
      <c r="C7" s="4">
        <f>SUMIFS(Invoices!$M$2:$M$673,Invoices!$Q$2:$Q$673,$A7,Invoices!$R$2:$R$673,$B7)</f>
        <v/>
      </c>
    </row>
    <row r="8">
      <c r="A8" t="inlineStr">
        <is>
          <t>HR</t>
        </is>
      </c>
      <c r="B8" t="inlineStr">
        <is>
          <t>CC-6010</t>
        </is>
      </c>
      <c r="C8" s="4">
        <f>SUMIFS(Invoices!$M$2:$M$673,Invoices!$Q$2:$Q$673,$A8,Invoices!$R$2:$R$673,$B8)</f>
        <v/>
      </c>
    </row>
    <row r="9">
      <c r="A9" t="inlineStr">
        <is>
          <t>IT</t>
        </is>
      </c>
      <c r="B9" t="inlineStr">
        <is>
          <t>CC-2010</t>
        </is>
      </c>
      <c r="C9" s="4">
        <f>SUMIFS(Invoices!$M$2:$M$673,Invoices!$Q$2:$Q$673,$A9,Invoices!$R$2:$R$673,$B9)</f>
        <v/>
      </c>
    </row>
    <row r="10">
      <c r="A10" t="inlineStr">
        <is>
          <t>IT</t>
        </is>
      </c>
      <c r="B10" t="inlineStr">
        <is>
          <t>CC-2020</t>
        </is>
      </c>
      <c r="C10" s="4">
        <f>SUMIFS(Invoices!$M$2:$M$673,Invoices!$Q$2:$Q$673,$A10,Invoices!$R$2:$R$673,$B10)</f>
        <v/>
      </c>
    </row>
    <row r="11">
      <c r="A11" t="inlineStr">
        <is>
          <t>IT</t>
        </is>
      </c>
      <c r="B11" t="inlineStr">
        <is>
          <t>CC-2030</t>
        </is>
      </c>
      <c r="C11" s="4">
        <f>SUMIFS(Invoices!$M$2:$M$673,Invoices!$Q$2:$Q$673,$A11,Invoices!$R$2:$R$673,$B11)</f>
        <v/>
      </c>
    </row>
    <row r="12">
      <c r="A12" t="inlineStr">
        <is>
          <t>Logistics</t>
        </is>
      </c>
      <c r="B12" t="inlineStr">
        <is>
          <t>CC-3010</t>
        </is>
      </c>
      <c r="C12" s="4">
        <f>SUMIFS(Invoices!$M$2:$M$673,Invoices!$Q$2:$Q$673,$A12,Invoices!$R$2:$R$673,$B12)</f>
        <v/>
      </c>
    </row>
    <row r="13">
      <c r="A13" t="inlineStr">
        <is>
          <t>Logistics</t>
        </is>
      </c>
      <c r="B13" t="inlineStr">
        <is>
          <t>CC-3020</t>
        </is>
      </c>
      <c r="C13" s="4">
        <f>SUMIFS(Invoices!$M$2:$M$673,Invoices!$Q$2:$Q$673,$A13,Invoices!$R$2:$R$673,$B13)</f>
        <v/>
      </c>
    </row>
    <row r="14">
      <c r="A14" t="inlineStr">
        <is>
          <t>Logistics</t>
        </is>
      </c>
      <c r="B14" t="inlineStr">
        <is>
          <t>CC-3030</t>
        </is>
      </c>
      <c r="C14" s="4">
        <f>SUMIFS(Invoices!$M$2:$M$673,Invoices!$Q$2:$Q$673,$A14,Invoices!$R$2:$R$673,$B14)</f>
        <v/>
      </c>
    </row>
    <row r="15">
      <c r="A15" t="inlineStr">
        <is>
          <t>Manufacturing</t>
        </is>
      </c>
      <c r="B15" t="inlineStr">
        <is>
          <t>CC-1010</t>
        </is>
      </c>
      <c r="C15" s="4">
        <f>SUMIFS(Invoices!$M$2:$M$673,Invoices!$Q$2:$Q$673,$A15,Invoices!$R$2:$R$673,$B15)</f>
        <v/>
      </c>
    </row>
    <row r="16">
      <c r="A16" t="inlineStr">
        <is>
          <t>Manufacturing</t>
        </is>
      </c>
      <c r="B16" t="inlineStr">
        <is>
          <t>CC-1020</t>
        </is>
      </c>
      <c r="C16" s="4">
        <f>SUMIFS(Invoices!$M$2:$M$673,Invoices!$Q$2:$Q$673,$A16,Invoices!$R$2:$R$673,$B16)</f>
        <v/>
      </c>
    </row>
    <row r="17">
      <c r="A17" t="inlineStr">
        <is>
          <t>Manufacturing</t>
        </is>
      </c>
      <c r="B17" t="inlineStr">
        <is>
          <t>CC-1030</t>
        </is>
      </c>
      <c r="C17" s="4">
        <f>SUMIFS(Invoices!$M$2:$M$673,Invoices!$Q$2:$Q$673,$A17,Invoices!$R$2:$R$673,$B17)</f>
        <v/>
      </c>
    </row>
    <row r="18">
      <c r="A18" t="inlineStr">
        <is>
          <t>Manufacturing</t>
        </is>
      </c>
      <c r="B18" t="inlineStr">
        <is>
          <t>CC-1040</t>
        </is>
      </c>
      <c r="C18" s="4">
        <f>SUMIFS(Invoices!$M$2:$M$673,Invoices!$Q$2:$Q$673,$A18,Invoices!$R$2:$R$673,$B18)</f>
        <v/>
      </c>
    </row>
    <row r="19">
      <c r="A19" s="6" t="inlineStr">
        <is>
          <t>Total</t>
        </is>
      </c>
      <c r="C19" s="7">
        <f>SUM(C4:C18)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2026-08-22T13:46:16Z</dcterms:created>
  <dcterms:modified xsi:type="dcterms:W3CDTF">2026-08-22T13:46:16Z</dcterms:modified>
</cp:coreProperties>
</file>